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2" documentId="13_ncr:1_{EBA63528-5861-4D6C-8561-74A528E5F3DD}" xr6:coauthVersionLast="47" xr6:coauthVersionMax="47" xr10:uidLastSave="{3B8B9DAE-A791-4AC3-B2D1-D3BB79AB9D6F}"/>
  <bookViews>
    <workbookView xWindow="-120" yWindow="-120" windowWidth="29040" windowHeight="15720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<sst xmlns="http://schemas.openxmlformats.org/spreadsheetml/2006/main" count="3281" uniqueCount="395">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</sst>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topLeftCell="A3" zoomScale="96" zoomScaleNormal="96" workbookViewId="0">
      <selection activeCell="D36" sqref="D36"/>
    </sheetView>
  </sheetViews>
  <sheetFormatPr defaultColWidth="9.140625" defaultRowHeight="12.75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>
      <c r="B3" s="185" t="s">
        <v>0</v>
      </c>
      <c r="C3" s="186"/>
      <c r="D3" s="212">
        <v>46113</v>
      </c>
      <c r="E3" s="212"/>
      <c r="F3" s="212"/>
    </row>
    <row r="4" spans="2:19">
      <c r="B4" s="69"/>
      <c r="D4" s="70"/>
      <c r="E4" s="70"/>
    </row>
    <row r="6" spans="2:19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>
      <c r="S33"/>
    </row>
    <row r="34" spans="1:19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>
      <c r="B47" s="79"/>
    </row>
    <row r="49" spans="2:18">
      <c r="I49" s="84"/>
      <c r="J49" s="84"/>
    </row>
    <row r="52" spans="2:18">
      <c r="B52" s="84"/>
      <c r="C52" s="84"/>
      <c r="D52" s="84"/>
      <c r="E52" s="84"/>
      <c r="F52" s="84"/>
      <c r="G52" s="84"/>
      <c r="H52" s="84"/>
    </row>
    <row r="58" spans="2:18">
      <c r="I58" s="84"/>
    </row>
    <row r="59" spans="2:18">
      <c r="B59" s="84"/>
      <c r="C59" s="84"/>
      <c r="D59" s="84"/>
      <c r="E59" s="84"/>
      <c r="F59" s="84"/>
      <c r="G59" s="84"/>
      <c r="H59" s="84"/>
    </row>
    <row r="62" spans="2:18">
      <c r="M62" s="83"/>
      <c r="N62" s="83"/>
      <c r="O62" s="83"/>
      <c r="P62" s="83"/>
      <c r="R62" s="83"/>
    </row>
    <row r="66" spans="10:11">
      <c r="J66" s="58"/>
      <c r="K66" s="58"/>
    </row>
    <row r="67" spans="10:11">
      <c r="J67" s="58"/>
      <c r="K67" s="58"/>
    </row>
    <row r="69" spans="10:11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>
      <c r="E1" s="111" t="s">
        <v>268</v>
      </c>
      <c r="I1" s="111" t="s">
        <v>269</v>
      </c>
      <c r="M1" s="111" t="s">
        <v>270</v>
      </c>
    </row>
    <row r="2" spans="1:13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>
      <c r="B4" s="3" t="s">
        <v>11</v>
      </c>
      <c r="D4" s="3" t="s">
        <v>274</v>
      </c>
      <c r="F4" s="3" t="s">
        <v>274</v>
      </c>
    </row>
    <row r="6" spans="2:8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>
      <c r="B26" s="66">
        <v>21</v>
      </c>
      <c r="C26" s="3" t="str">
        <f>IF(Scholen!F36&lt;&gt;"",Scholen!F36,"")</f>
        <v/>
      </c>
      <c r="D26" s="104"/>
      <c r="F26" s="104"/>
    </row>
    <row r="27" spans="2:7">
      <c r="B27" s="66">
        <v>22</v>
      </c>
      <c r="C27" s="3" t="str">
        <f>IF(Scholen!H36&lt;&gt;"",Scholen!H36,"")</f>
        <v/>
      </c>
      <c r="D27" s="104"/>
      <c r="F27" s="104"/>
    </row>
    <row r="28" spans="2:7">
      <c r="B28" s="66">
        <v>23</v>
      </c>
      <c r="C28" s="3" t="str">
        <f>IF(Scholen!J36&lt;&gt;"",Scholen!J36,"")</f>
        <v/>
      </c>
      <c r="D28" s="104"/>
      <c r="F28" s="104"/>
    </row>
    <row r="29" spans="2:7">
      <c r="B29" s="66">
        <v>24</v>
      </c>
      <c r="C29" s="3" t="str">
        <f>IF(Scholen!L36&lt;&gt;"",Scholen!L36,"")</f>
        <v/>
      </c>
      <c r="D29" s="104"/>
      <c r="F29" s="104"/>
    </row>
    <row r="30" spans="2:7">
      <c r="B30" s="66">
        <v>25</v>
      </c>
      <c r="C30" s="3" t="str">
        <f>IF(Scholen!N36&lt;&gt;"",Scholen!N36,"")</f>
        <v/>
      </c>
      <c r="D30" s="104"/>
      <c r="F30" s="104"/>
    </row>
    <row r="31" spans="2:7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L12" sqref="L12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1">
        <f>Scholen!$C$7</f>
        <v>1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11</v>
      </c>
      <c r="K11" s="92" t="s">
        <v>326</v>
      </c>
      <c r="L11" s="16">
        <v>22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Scholen!$B$10</f>
        <v>Maria M2</v>
      </c>
      <c r="B41" s="228"/>
      <c r="C41" s="228"/>
      <c r="D41" s="139"/>
      <c r="E41" s="140">
        <f>IF(AND($J$11&lt;&gt;"", $L$11&lt;&gt;""),IF($J$11&gt;$L$11,3,IF($J$11=$L$11,1,0)),"")</f>
        <v>0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0</v>
      </c>
      <c r="Q41" s="82">
        <f t="shared" ref="Q41:Q48" si="0">COUNT(E41:N41)</f>
        <v>1</v>
      </c>
      <c r="R41" s="82">
        <f>COUNTIFS(E41:N41,3)</f>
        <v>0</v>
      </c>
      <c r="S41" s="82">
        <f>COUNTIFS(E41:N41,0)</f>
        <v>1</v>
      </c>
      <c r="T41" s="82">
        <f>COUNTIFS(E41:N41,1)</f>
        <v>0</v>
      </c>
      <c r="U41" s="82">
        <f>J11+L18+J21+J23+L29+J34+L36</f>
        <v>11</v>
      </c>
      <c r="V41" s="82">
        <f>L11+J18+L21+L23+J29+L34+J36</f>
        <v>22</v>
      </c>
      <c r="W41" s="82">
        <f>Q11+R18+Q21+Q23+R29+Q34+R36</f>
        <v>0</v>
      </c>
      <c r="X41" s="90">
        <f t="shared" ref="X41:X48" si="1">IF(Y41="",IF(O41&lt;&gt;"",_xlfn.RANK.EQ(O41,$O$41:$O$48),""),Y41)</f>
        <v>2</v>
      </c>
    </row>
    <row r="42" spans="1:24" ht="18.75" customHeight="1">
      <c r="A42" s="142" t="str">
        <f>Scholen!$B$11</f>
        <v>Galjoen M1</v>
      </c>
      <c r="B42" s="229"/>
      <c r="C42" s="229"/>
      <c r="D42" s="18"/>
      <c r="E42" s="140">
        <f>IF(AND($J$11&lt;&gt;"", $L$11&lt;&gt;""),IF($J$11&lt;$L$11,3,IF($J$11=$L$11,1,0)),"")</f>
        <v>3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3</v>
      </c>
      <c r="Q42" s="82">
        <f t="shared" si="0"/>
        <v>1</v>
      </c>
      <c r="R42" s="82">
        <f t="shared" ref="R42:R48" si="2">COUNTIFS(E42:N42,3)</f>
        <v>1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22</v>
      </c>
      <c r="V42" s="82">
        <f>J11+L15+J19+L25+L28+L33+J37</f>
        <v>11</v>
      </c>
      <c r="W42" s="82">
        <f>R11+Q15+R19+Q25+Q28+Q33+R37</f>
        <v>0</v>
      </c>
      <c r="X42" s="90">
        <f t="shared" si="1"/>
        <v>1</v>
      </c>
    </row>
    <row r="43" spans="1:24" ht="18.75" customHeight="1">
      <c r="A43" s="138" t="str">
        <f>Scholen!$B$12</f>
        <v>Springwijs M1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Scholen!$B$14</f>
        <v>Maurits M1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Scholen!$B$15</f>
        <v>DSV M1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IF(Scholen!$B$16&lt;&gt;"",Scholen!$B$16,"")</f>
        <v>Horizon M1</v>
      </c>
      <c r="B47" s="228"/>
      <c r="C47" s="228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IF(Scholen!$B$17&lt;&gt;"",Scholen!$B$17,"")</f>
        <v>Widar M1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1">
        <f>Scholen!$E$7</f>
        <v>2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>
      <c r="A41" s="138" t="str">
        <f>Scholen!$D$10</f>
        <v>Tuin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>
      <c r="A42" s="142" t="str">
        <f>Scholen!$D$11</f>
        <v>Maria M3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>
      <c r="A43" s="138" t="str">
        <f>Scholen!$D$12</f>
        <v>Galjoen M2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>
      <c r="A45" s="138" t="str">
        <f>Scholen!$D$14</f>
        <v>Talent M1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>
      <c r="A46" s="138" t="str">
        <f>Scholen!$D$15</f>
        <v>Widar M2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>
      <c r="A47" s="138" t="str">
        <f>IF(Scholen!$D$16&lt;&gt;"",Scholen!$D$16,"")</f>
        <v>Regenboog M1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>
      <c r="A48" s="138" t="str">
        <f>IF(Scholen!$D$17&lt;&gt;"",Scholen!$D$17,"")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1">
        <f>Scholen!$G$7</f>
        <v>3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>
      <c r="A41" s="138" t="str">
        <f>Scholen!$F$10</f>
        <v>Eglantier-B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>
      <c r="A42" s="142" t="str">
        <f>Scholen!$F$11</f>
        <v>Horizon M2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>
      <c r="A43" s="138" t="str">
        <f>Scholen!$F$12</f>
        <v>Maria M4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>
      <c r="A45" s="138" t="str">
        <f>Scholen!$F$14</f>
        <v>Springwijs M3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>
      <c r="A46" s="138" t="str">
        <f>Scholen!$F$15</f>
        <v>Maan M1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>
      <c r="A47" s="138" t="str">
        <f>IF(Scholen!$F$16&lt;&gt;"",Scholen!$F$16,"")</f>
        <v>Widar M3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>
      <c r="A48" s="138" t="str">
        <f>IF(Scholen!$F$17&lt;&gt;"",Scholen!$F$17,"")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1">
        <f>Scholen!$I$7</f>
        <v>4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Scholen!$H$10</f>
        <v>Laurentius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Scholen!$H$11</f>
        <v>DSV M2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Scholen!$H$12</f>
        <v>Talent M2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Scholen!$H$14</f>
        <v>Galjoen M4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Scholen!$H$15</f>
        <v>Max M2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IF(Scholen!$H$16&lt;&gt;"",Scholen!$H$16,"")</f>
        <v>Tuin M2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IF(Scholen!$H$17&lt;&gt;"",Scholen!$H$17,"")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1">
        <f>Scholen!$K$7</f>
        <v>5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Scholen!$J$10</f>
        <v>Mozaïek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Scholen!$J$11</f>
        <v>BMS M1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Scholen!$J$12</f>
        <v>Bonte Pael M1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Scholen!$J$14</f>
        <v>Maria M7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Scholen!$J$15</f>
        <v>Oostpoort M1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IF(Scholen!$J$16&lt;&gt;"",Scholen!$J$16,"")</f>
        <v>Waterhof M1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IF(Scholen!$J$17&lt;&gt;"",Scholen!$J$17,"")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1">
        <f>Scholen!$M$7</f>
        <v>6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>
      <c r="A41" s="138" t="str">
        <f>Scholen!$L$10</f>
        <v>Freinet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>
      <c r="A42" s="142" t="str">
        <f>Scholen!$L$11</f>
        <v>Gabriël M1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>
      <c r="A43" s="138" t="str">
        <f>Scholen!$L$12</f>
        <v>Rembrandt M1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>
      <c r="A45" s="138" t="str">
        <f>Scholen!$L$14</f>
        <v>Maurits M2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>
      <c r="A46" s="138" t="str">
        <f>Scholen!$L$15</f>
        <v>Maria M9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>
      <c r="A47" s="138" t="str">
        <f>IF(Scholen!$L$16&lt;&gt;"",Scholen!$L$16,"")</f>
        <v>Maan M2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>
      <c r="A48" s="138" t="str">
        <f>IF(Scholen!$L$17&lt;&gt;"",Scholen!$L$17,"")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1">
        <f>Scholen!$O$7</f>
        <v>7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>
      <c r="A41" s="138" t="str">
        <f>Scholen!$N$10</f>
        <v>Horizon G1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>
      <c r="A42" s="142" t="str">
        <f>Scholen!$N$11</f>
        <v>Max G1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>
      <c r="A43" s="138" t="str">
        <f>Scholen!$N$12</f>
        <v>Galjoen G1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>
      <c r="A45" s="138" t="str">
        <f>Scholen!$N$14</f>
        <v>Schatkaart G1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>
      <c r="A46" s="138" t="str">
        <f>Scholen!$N$15</f>
        <v>M Delft G1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>
      <c r="A47" s="138" t="str">
        <f>IF(Scholen!$N$16&lt;&gt;"",Scholen!$N$16,"")</f>
        <v>Maria G1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>
      <c r="A48" s="138" t="str">
        <f>IF(Scholen!$N$17&lt;&gt;"",Scholen!$N$17,"")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1">
        <f>Scholen!$Q$7</f>
        <v>8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Scholen!$P$10</f>
        <v>Maria M1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Scholen!$P$11</f>
        <v>Mozaïek G1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Scholen!$P$12</f>
        <v>Gabriël G1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Scholen!$P$14</f>
        <v>Horizon G2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Scholen!$P$15</f>
        <v>Galjoen G2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IF(Scholen!$P$16&lt;&gt;"",Scholen!$P$16,"")</f>
        <v>Freinet G1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IF(Scholen!$P$17&lt;&gt;"",Scholen!$P$17,"")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1">
        <f>Scholen!$S$7</f>
        <v>9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Scholen!$R$10</f>
        <v>Maria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Scholen!$R$11</f>
        <v>Springwijs J1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Scholen!$R$12</f>
        <v>Galjoen J1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Scholen!$R$14</f>
        <v>Talent J1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Scholen!$R$15</f>
        <v>Horizon J1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IF(Scholen!$R$16&lt;&gt;"",Scholen!$R$16,"")</f>
        <v>Widar J1</v>
      </c>
      <c r="B47" s="228"/>
      <c r="C47" s="228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IF(Scholen!$R$17&lt;&gt;"",Scholen!$R$17,"")</f>
        <v>Waterhof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1">
        <f>Scholen!$C$21</f>
        <v>10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Scholen!$B$24</f>
        <v>Titus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Scholen!$B$25</f>
        <v>Maria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Scholen!$B$26</f>
        <v>Springwijs J2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Scholen!$B$28</f>
        <v>Gabriël J2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Scholen!$B$29</f>
        <v>DSV J1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IF(Scholen!$B$30&lt;&gt;"",Scholen!$B$30,"")</f>
        <v>Mozaïek J1</v>
      </c>
      <c r="B47" s="228"/>
      <c r="C47" s="228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IF(Scholen!$B$31&lt;&gt;"",Scholen!$B$31,"")</f>
        <v>Widar J2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1">
        <f>Scholen!$E$21</f>
        <v>11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>
      <c r="A41" s="138" t="str">
        <f>Scholen!$D$24</f>
        <v>Horizon J2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>
      <c r="A42" s="142" t="str">
        <f>Scholen!$D$25</f>
        <v>Talent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>
      <c r="A43" s="138" t="str">
        <f>Scholen!$D$26</f>
        <v>Maria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>
      <c r="A45" s="138" t="str">
        <f>Scholen!$D$28</f>
        <v>Galjoen J3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>
      <c r="A46" s="138" t="str">
        <f>Scholen!$D$29</f>
        <v>BMS J1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>
      <c r="A47" s="138" t="str">
        <f>IF(Scholen!$D$30&lt;&gt;"",Scholen!$D$30,"")</f>
        <v>Waterhof J2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>
      <c r="A48" s="138" t="str">
        <f>IF(Scholen!$D$31&lt;&gt;"",Scholen!$D$31,"")</f>
        <v>Freinet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1">
        <f>Scholen!$G$21</f>
        <v>12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Scholen!$F$24</f>
        <v>Eglantier-V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Scholen!$F$25</f>
        <v>Titus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Scholen!$F$26</f>
        <v>Gabriël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Scholen!$F$28</f>
        <v>Springwijs J4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Scholen!$F$29</f>
        <v>Galjoen J4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IF(Scholen!$F$30&lt;&gt;"",Scholen!$F$30,"")</f>
        <v>Widar J3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IF(Scholen!$F$31&lt;&gt;"",Scholen!$F$31,"")</f>
        <v>Waterhof J3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1">
        <f>Scholen!$I$21</f>
        <v>13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Scholen!$H$24</f>
        <v>DSV J2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Scholen!$H$25</f>
        <v>Mozaïek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Scholen!$H$26</f>
        <v>Horizon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Scholen!$H$28</f>
        <v>Maria J5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Scholen!$H$29</f>
        <v>Springwijs J5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IF(Scholen!$H$30&lt;&gt;"",Scholen!$H$30,"")</f>
        <v>Galjoen J5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IF(Scholen!$H$31&lt;&gt;"",Scholen!$H$31,"")</f>
        <v>Widar J4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1">
        <f>Scholen!$K$21</f>
        <v>14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Scholen!$J$24</f>
        <v>Laurentius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Scholen!$J$25</f>
        <v>Eglantier-V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Scholen!$J$26</f>
        <v>Titus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Scholen!$J$28</f>
        <v>Galjoen J6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Scholen!$J$29</f>
        <v>Maria J6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IF(Scholen!$J$30&lt;&gt;"",Scholen!$J$30,"")</f>
        <v>Max J1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IF(Scholen!$J$31&lt;&gt;"",Scholen!$J$31,"")</f>
        <v>Oostpoort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1">
        <f>Scholen!$M$21</f>
        <v>15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Scholen!$L$24</f>
        <v>Park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Scholen!$L$25</f>
        <v>BMS J2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Scholen!$L$26</f>
        <v>Maurits J1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Scholen!$L$28</f>
        <v>Talent J4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Scholen!$L$29</f>
        <v>Springwijs J6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IF(Scholen!$L$30&lt;&gt;"",Scholen!$L$30,"")</f>
        <v>Maria J7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IF(Scholen!$L$31&lt;&gt;"",Scholen!$L$31,"")</f>
        <v>Vermeer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1">
        <f>Scholen!$O$21</f>
        <v>16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Scholen!$N$24</f>
        <v>Maria J8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Scholen!$N$25</f>
        <v>Rembrandt J1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Scholen!$N$26</f>
        <v>DSV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Scholen!$N$28</f>
        <v>Eglantier-V J3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Scholen!$N$29</f>
        <v>Bonte Pael J1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IF(Scholen!$N$30&lt;&gt;"",Scholen!$N$30,"")</f>
        <v>Widar J5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IF(Scholen!$N$31&lt;&gt;"",Scholen!$N$31,"")</f>
        <v>Cornelis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1">
        <f>Scholen!$Q$21</f>
        <v>17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Scholen!$P$24</f>
        <v>Waterhof J4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Scholen!$P$25</f>
        <v>Regenboog J1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Scholen!$P$26</f>
        <v>Talent J5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Scholen!$P$28</f>
        <v>Freinet J2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Scholen!$P$29</f>
        <v>Laurentius J2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IF(Scholen!$P$30&lt;&gt;"",Scholen!$P$30,"")</f>
        <v>Titus J4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IF(Scholen!$P$31&lt;&gt;"",Scholen!$P$31,"")</f>
        <v>Mozaïek J3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1">
        <f>Scholen!$S$21</f>
        <v>18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178" t="s">
        <v>274</v>
      </c>
      <c r="N10" s="94"/>
      <c r="O10" s="86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Scholen!$R$24</f>
        <v>Eglantier-B J1</v>
      </c>
      <c r="B41" s="228"/>
      <c r="C41" s="228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Scholen!$R$25</f>
        <v>Gabriël J5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Scholen!$R$26</f>
        <v>Freinet J3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Scholen!$R$28</f>
        <v>Maurits J2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Scholen!$R$29</f>
        <v>Max J3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IF(Scholen!$R$30&lt;&gt;"",Scholen!$R$30,"")</f>
        <v>Vermeer J2</v>
      </c>
      <c r="B47" s="228"/>
      <c r="C47" s="228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IF(Scholen!$R$31&lt;&gt;"",Scholen!$R$31,"")</f>
        <v>M Delft J1</v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1">
        <f>Scholen!$C$35</f>
        <v>19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 t="str">
        <f>Scholen!$B$38</f>
        <v>Bonte Pael J2</v>
      </c>
      <c r="B41" s="228"/>
      <c r="C41" s="228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>
      <c r="A42" s="142" t="str">
        <f>Scholen!$B$39</f>
        <v>Springwijs J7</v>
      </c>
      <c r="B42" s="229"/>
      <c r="C42" s="229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>
      <c r="A43" s="138" t="str">
        <f>Scholen!$B$40</f>
        <v>Schatkaart J1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>
      <c r="A45" s="138" t="str">
        <f>Scholen!$B$42</f>
        <v>Mgr. Bekkers J1</v>
      </c>
      <c r="B45" s="228"/>
      <c r="C45" s="228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>
      <c r="A46" s="138" t="str">
        <f>Scholen!$B$43</f>
        <v>Tuin J2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>
      <c r="A47" s="138" t="str">
        <f>IF(Scholen!$B$44&lt;&gt;"",Scholen!$B$44,"")</f>
        <v>Regenboog J2</v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>
      <c r="A48" s="138" t="str">
        <f>IF(Scholen!$B$45&lt;&gt;"",Scholen!$B$45,"")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1">
        <f>Scholen!$E$35</f>
        <v>20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42">
        <f>Scholen!$D$38</f>
        <v>0</v>
      </c>
      <c r="B41" s="229"/>
      <c r="C41" s="229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>
      <c r="A42" s="138">
        <f>Scholen!$D$39</f>
        <v>0</v>
      </c>
      <c r="B42" s="228"/>
      <c r="C42" s="228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>
      <c r="A43" s="138">
        <f>Scholen!$D$40</f>
        <v>0</v>
      </c>
      <c r="B43" s="228"/>
      <c r="C43" s="228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>
      <c r="A44" s="138">
        <f>Scholen!$D$41</f>
        <v>0</v>
      </c>
      <c r="B44" s="228"/>
      <c r="C44" s="228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>
      <c r="A46" s="138">
        <f>Scholen!$D$43</f>
        <v>0</v>
      </c>
      <c r="B46" s="228"/>
      <c r="C46" s="228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>
      <c r="A47" s="138" t="str">
        <f>IF(Scholen!$D$44&lt;&gt;"",Scholen!$D$44,"")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30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>
      <c r="A48" s="138" t="str">
        <f>IF(Scholen!$D$45&lt;&gt;"",Scholen!$D$45,"")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1">
        <f>Scholen!$G$35</f>
        <v>21</v>
      </c>
      <c r="L8" s="221"/>
      <c r="M8" s="176"/>
      <c r="N8" s="222">
        <v>45385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Scholen!$F$38</f>
        <v>0</v>
      </c>
      <c r="B41" s="228"/>
      <c r="C41" s="228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Scholen!$F$39</f>
        <v>0</v>
      </c>
      <c r="B42" s="229"/>
      <c r="C42" s="229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Scholen!$F$40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Scholen!$F$42</f>
        <v>0</v>
      </c>
      <c r="B45" s="228"/>
      <c r="C45" s="228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Scholen!$F$43</f>
        <v>0</v>
      </c>
      <c r="B46" s="228"/>
      <c r="C46" s="228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IF(Scholen!$F$44&lt;&gt;"",Scholen!$F$44,"")</f>
        <v/>
      </c>
      <c r="B47" s="228"/>
      <c r="C47" s="228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IF(Scholen!$F$45&lt;&gt;"",Scholen!$F$45,"")</f>
        <v/>
      </c>
      <c r="B48" s="228"/>
      <c r="C48" s="228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1">
        <f>Scholen!$I$35</f>
        <v>22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Scholen!$H$38</f>
        <v>0</v>
      </c>
      <c r="B41" s="228"/>
      <c r="C41" s="228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Scholen!$H$39</f>
        <v>0</v>
      </c>
      <c r="B42" s="229"/>
      <c r="C42" s="229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Scholen!$H$40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Scholen!$H$42</f>
        <v>0</v>
      </c>
      <c r="B45" s="228"/>
      <c r="C45" s="228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Scholen!$H$43</f>
        <v>0</v>
      </c>
      <c r="B46" s="228"/>
      <c r="C46" s="228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IF(Scholen!$H$44&lt;&gt;"",Scholen!$H$44,"")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IF(Scholen!$H$45&lt;&gt;"",Scholen!$H$45,"")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1">
        <f>Scholen!$K$35</f>
        <v>23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Scholen!$J$38</f>
        <v>0</v>
      </c>
      <c r="B41" s="228"/>
      <c r="C41" s="228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Scholen!$J$39</f>
        <v>0</v>
      </c>
      <c r="B42" s="229"/>
      <c r="C42" s="229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Scholen!$J$40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Scholen!$J$42</f>
        <v>0</v>
      </c>
      <c r="B45" s="228"/>
      <c r="C45" s="228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Scholen!$J$43</f>
        <v>0</v>
      </c>
      <c r="B46" s="228"/>
      <c r="C46" s="228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IF(Scholen!$J$44&lt;&gt;"",Scholen!$J$44,"")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IF(Scholen!$J$45&lt;&gt;"",Scholen!$J$45,"")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1">
        <f>Scholen!$M$35</f>
        <v>24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Scholen!$L$38</f>
        <v>0</v>
      </c>
      <c r="B41" s="228"/>
      <c r="C41" s="228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Scholen!$L$39</f>
        <v>0</v>
      </c>
      <c r="B42" s="229"/>
      <c r="C42" s="229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Scholen!$L$40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Scholen!$L$42</f>
        <v>0</v>
      </c>
      <c r="B45" s="228"/>
      <c r="C45" s="228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Scholen!$L$43</f>
        <v>0</v>
      </c>
      <c r="B46" s="228"/>
      <c r="C46" s="228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IF(Scholen!$L$44&lt;&gt;"",Scholen!$L$44,"")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IF(Scholen!$L$45&lt;&gt;"",Scholen!$L$45,"")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1">
        <f>Scholen!$O$35</f>
        <v>25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Scholen!$N$38</f>
        <v>0</v>
      </c>
      <c r="B41" s="228"/>
      <c r="C41" s="228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Scholen!$N$39</f>
        <v>0</v>
      </c>
      <c r="B42" s="229"/>
      <c r="C42" s="229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Scholen!$N$40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Scholen!$N$42</f>
        <v>0</v>
      </c>
      <c r="B45" s="228"/>
      <c r="C45" s="228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Scholen!$N$43</f>
        <v>0</v>
      </c>
      <c r="B46" s="228"/>
      <c r="C46" s="228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IF(Scholen!$N$44&lt;&gt;"",Scholen!$N$44,"")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IF(Scholen!$N$45&lt;&gt;"",Scholen!$N$45,"")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>
      <c r="A1" s="1" t="s">
        <v>314</v>
      </c>
      <c r="I1" s="46" t="s">
        <v>315</v>
      </c>
    </row>
    <row r="2" spans="1:18" ht="16.5">
      <c r="A2" s="3" t="s">
        <v>316</v>
      </c>
    </row>
    <row r="3" spans="1:18" ht="16.5">
      <c r="A3" s="3" t="s">
        <v>317</v>
      </c>
    </row>
    <row r="4" spans="1:18" ht="16.5">
      <c r="A4" s="3" t="s">
        <v>318</v>
      </c>
    </row>
    <row r="5" spans="1:18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>
      <c r="A6" s="3"/>
    </row>
    <row r="8" spans="1:18" ht="18.75" customHeight="1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1">
        <f>Scholen!$Q$35</f>
        <v>26</v>
      </c>
      <c r="L8" s="221"/>
      <c r="M8" s="176"/>
      <c r="N8" s="222">
        <f>Scholen!$D$3</f>
        <v>46113</v>
      </c>
      <c r="O8" s="217"/>
    </row>
    <row r="9" spans="1:18" ht="18.75" thickBot="1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>
      <c r="A10" s="10" t="s">
        <v>321</v>
      </c>
      <c r="B10" s="218" t="s">
        <v>322</v>
      </c>
      <c r="C10" s="218"/>
      <c r="D10" s="218"/>
      <c r="E10" s="11" t="s">
        <v>323</v>
      </c>
      <c r="F10" s="171"/>
      <c r="G10" s="171"/>
      <c r="H10" s="171"/>
      <c r="I10" s="12"/>
      <c r="J10" s="219" t="s">
        <v>324</v>
      </c>
      <c r="K10" s="226"/>
      <c r="L10" s="220"/>
      <c r="M10" s="227" t="s">
        <v>274</v>
      </c>
      <c r="N10" s="171"/>
      <c r="O10" s="12"/>
      <c r="Q10" s="213" t="s">
        <v>325</v>
      </c>
      <c r="R10" s="214"/>
    </row>
    <row r="11" spans="1:18" ht="18.75" customHeight="1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>
      <c r="A40" s="215" t="s">
        <v>327</v>
      </c>
      <c r="B40" s="215"/>
      <c r="C40" s="216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>
      <c r="A41" s="138">
        <f>Scholen!$P$38</f>
        <v>0</v>
      </c>
      <c r="B41" s="228"/>
      <c r="C41" s="228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>
      <c r="A42" s="142">
        <f>Scholen!$P$39</f>
        <v>0</v>
      </c>
      <c r="B42" s="229"/>
      <c r="C42" s="229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>
      <c r="A43" s="138">
        <f>Scholen!$P$40</f>
        <v>0</v>
      </c>
      <c r="B43" s="228"/>
      <c r="C43" s="228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>
      <c r="A45" s="138">
        <f>Scholen!$P$42</f>
        <v>0</v>
      </c>
      <c r="B45" s="228"/>
      <c r="C45" s="228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>
      <c r="A46" s="138">
        <f>Scholen!$P$43</f>
        <v>0</v>
      </c>
      <c r="B46" s="228"/>
      <c r="C46" s="228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>
      <c r="A47" s="138" t="str">
        <f>IF(Scholen!$P$44&lt;&gt;"",Scholen!$P$44,"")</f>
        <v/>
      </c>
      <c r="B47" s="228"/>
      <c r="C47" s="228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30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>
      <c r="A48" s="138" t="str">
        <f>IF(Scholen!$P$45&lt;&gt;"",Scholen!$P$45,"")</f>
        <v/>
      </c>
      <c r="B48" s="228"/>
      <c r="C48" s="228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>
      <c r="A1" s="1" t="s">
        <v>314</v>
      </c>
      <c r="I1" s="46" t="s">
        <v>315</v>
      </c>
    </row>
    <row r="2" spans="1:22" ht="16.5">
      <c r="A2" s="3" t="s">
        <v>316</v>
      </c>
    </row>
    <row r="3" spans="1:22" ht="16.5">
      <c r="A3" s="3" t="s">
        <v>317</v>
      </c>
    </row>
    <row r="4" spans="1:22" ht="16.5">
      <c r="A4" s="3" t="s">
        <v>318</v>
      </c>
    </row>
    <row r="5" spans="1:22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>
      <c r="A6" s="3"/>
    </row>
    <row r="8" spans="1:22" ht="18.75" customHeight="1">
      <c r="A8" s="223" t="str">
        <f>Scholen!B3</f>
        <v>Groep 7/8</v>
      </c>
      <c r="B8" s="224"/>
      <c r="C8" s="224"/>
      <c r="D8" s="224"/>
      <c r="E8" s="225" t="s">
        <v>338</v>
      </c>
      <c r="F8" s="225"/>
      <c r="G8" s="225"/>
      <c r="H8" s="225"/>
      <c r="I8" s="225"/>
      <c r="J8" s="225"/>
      <c r="K8" s="225"/>
      <c r="L8" s="225"/>
      <c r="M8" s="225"/>
      <c r="N8" s="225"/>
      <c r="O8" s="222">
        <f>Scholen!D3</f>
        <v>46113</v>
      </c>
      <c r="P8" s="217"/>
    </row>
    <row r="9" spans="1:22" ht="18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>
      <c r="A13" s="10" t="s">
        <v>321</v>
      </c>
      <c r="B13" s="218" t="s">
        <v>322</v>
      </c>
      <c r="C13" s="218"/>
      <c r="D13" s="218"/>
      <c r="E13" s="85" t="s">
        <v>323</v>
      </c>
      <c r="F13" s="94"/>
      <c r="G13" s="94"/>
      <c r="H13" s="171"/>
      <c r="I13" s="86"/>
      <c r="J13" s="231" t="s">
        <v>11</v>
      </c>
      <c r="K13" s="219" t="s">
        <v>324</v>
      </c>
      <c r="L13" s="226"/>
      <c r="M13" s="220"/>
      <c r="N13" s="227" t="s">
        <v>274</v>
      </c>
      <c r="O13" s="171"/>
      <c r="P13" s="12"/>
    </row>
    <row r="14" spans="1:22" ht="18.75" customHeight="1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>
      <c r="A34" s="10" t="s">
        <v>321</v>
      </c>
      <c r="B34" s="218" t="s">
        <v>322</v>
      </c>
      <c r="C34" s="218"/>
      <c r="D34" s="218"/>
      <c r="E34" s="85" t="s">
        <v>323</v>
      </c>
      <c r="F34" s="94"/>
      <c r="G34" s="94"/>
      <c r="H34" s="94"/>
      <c r="I34" s="86"/>
      <c r="J34" s="231" t="s">
        <v>11</v>
      </c>
      <c r="K34" s="219" t="s">
        <v>324</v>
      </c>
      <c r="L34" s="226"/>
      <c r="M34" s="220"/>
      <c r="N34" s="227" t="s">
        <v>274</v>
      </c>
      <c r="O34" s="171"/>
      <c r="P34" s="12"/>
      <c r="T34" s="28"/>
    </row>
    <row r="35" spans="1:20" ht="18.75" customHeight="1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>
      <c r="A1" s="1" t="s">
        <v>314</v>
      </c>
      <c r="I1" s="46" t="s">
        <v>315</v>
      </c>
    </row>
    <row r="2" spans="1:22" ht="16.5">
      <c r="A2" s="3" t="s">
        <v>316</v>
      </c>
    </row>
    <row r="3" spans="1:22" ht="16.5">
      <c r="A3" s="3" t="s">
        <v>317</v>
      </c>
    </row>
    <row r="4" spans="1:22" ht="16.5">
      <c r="A4" s="3" t="s">
        <v>318</v>
      </c>
    </row>
    <row r="5" spans="1:22" ht="16.5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>
      <c r="A6" s="3"/>
      <c r="U6" s="61"/>
      <c r="V6" s="61"/>
    </row>
    <row r="7" spans="1:22">
      <c r="U7" s="61"/>
      <c r="V7" s="61"/>
    </row>
    <row r="8" spans="1:22" ht="18.75" customHeight="1">
      <c r="A8" s="223" t="str">
        <f>Scholen!B3</f>
        <v>Groep 7/8</v>
      </c>
      <c r="B8" s="224"/>
      <c r="C8" s="224"/>
      <c r="D8" s="224"/>
      <c r="E8" s="225" t="s">
        <v>338</v>
      </c>
      <c r="F8" s="225"/>
      <c r="G8" s="225"/>
      <c r="H8" s="225"/>
      <c r="I8" s="225"/>
      <c r="J8" s="225"/>
      <c r="K8" s="225"/>
      <c r="L8" s="225"/>
      <c r="M8" s="225"/>
      <c r="N8" s="225"/>
      <c r="O8" s="222">
        <f>Scholen!D3</f>
        <v>46113</v>
      </c>
      <c r="P8" s="217"/>
      <c r="U8" s="61"/>
      <c r="V8" s="61"/>
    </row>
    <row r="9" spans="1:22" ht="18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>
      <c r="V11" s="61"/>
    </row>
    <row r="12" spans="1:22" ht="18.75" customHeight="1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>
      <c r="A13" s="10" t="s">
        <v>321</v>
      </c>
      <c r="B13" s="218" t="s">
        <v>322</v>
      </c>
      <c r="C13" s="218"/>
      <c r="D13" s="218"/>
      <c r="E13" s="11" t="s">
        <v>323</v>
      </c>
      <c r="F13" s="171"/>
      <c r="G13" s="171"/>
      <c r="H13" s="171"/>
      <c r="I13" s="12"/>
      <c r="J13" s="231" t="s">
        <v>11</v>
      </c>
      <c r="K13" s="219" t="s">
        <v>324</v>
      </c>
      <c r="L13" s="226"/>
      <c r="M13" s="220"/>
      <c r="N13" s="122" t="s">
        <v>274</v>
      </c>
      <c r="O13" s="171"/>
      <c r="P13" s="12"/>
      <c r="T13" s="58"/>
    </row>
    <row r="14" spans="1:22" ht="18.75" customHeight="1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>
      <c r="A21" s="10" t="s">
        <v>321</v>
      </c>
      <c r="B21" s="218" t="s">
        <v>322</v>
      </c>
      <c r="C21" s="218"/>
      <c r="D21" s="218"/>
      <c r="E21" s="11" t="s">
        <v>323</v>
      </c>
      <c r="F21" s="171"/>
      <c r="G21" s="171"/>
      <c r="H21" s="171"/>
      <c r="I21" s="12"/>
      <c r="J21" s="231" t="s">
        <v>11</v>
      </c>
      <c r="K21" s="219" t="s">
        <v>324</v>
      </c>
      <c r="L21" s="226"/>
      <c r="M21" s="220"/>
      <c r="N21" s="227" t="s">
        <v>274</v>
      </c>
      <c r="O21" s="171"/>
      <c r="P21" s="12"/>
      <c r="T21" s="58"/>
      <c r="Y21" s="61"/>
    </row>
    <row r="22" spans="1:25" ht="18.75" customHeight="1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>
      <c r="A27" s="10" t="s">
        <v>321</v>
      </c>
      <c r="B27" s="218" t="s">
        <v>322</v>
      </c>
      <c r="C27" s="218"/>
      <c r="D27" s="218"/>
      <c r="E27" s="11" t="s">
        <v>323</v>
      </c>
      <c r="F27" s="171"/>
      <c r="G27" s="171"/>
      <c r="H27" s="171"/>
      <c r="I27" s="12"/>
      <c r="J27" s="231" t="s">
        <v>11</v>
      </c>
      <c r="K27" s="219" t="s">
        <v>324</v>
      </c>
      <c r="L27" s="226"/>
      <c r="M27" s="220"/>
      <c r="N27" s="227" t="s">
        <v>274</v>
      </c>
      <c r="O27" s="171"/>
      <c r="P27" s="12"/>
      <c r="W27" s="58"/>
    </row>
    <row r="28" spans="1:25" ht="18.75" customHeight="1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Sander Tetteroo | VV SEP</cp:lastModifiedBy>
  <cp:revision/>
  <dcterms:created xsi:type="dcterms:W3CDTF">2005-02-28T21:00:39Z</dcterms:created>
  <dcterms:modified xsi:type="dcterms:W3CDTF">2026-03-28T19:04:06Z</dcterms:modified>
  <cp:category/>
  <cp:contentStatus/>
</cp:coreProperties>
</file>