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BBBDD5E5-BAB8-4294-8D49-3CA430C4D85E}" xr6:coauthVersionLast="47" xr6:coauthVersionMax="47" xr10:uidLastSave="{00000000-0000-0000-0000-000000000000}"/>
  <bookViews>
    <workbookView xWindow="-108" yWindow="-108" windowWidth="16608" windowHeight="8712" xr2:uid="{1E4487DF-A68B-4FB0-B6B5-A23AE7F3C8B9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R47" i="30" s="1"/>
  <c r="A47" i="30"/>
  <c r="W46" i="30"/>
  <c r="V46" i="30"/>
  <c r="U46" i="30"/>
  <c r="N46" i="30"/>
  <c r="M46" i="30"/>
  <c r="K46" i="30"/>
  <c r="O46" i="30" s="1" a="1"/>
  <c r="O46" i="30" s="1"/>
  <c r="I46" i="30"/>
  <c r="H46" i="30"/>
  <c r="F46" i="30"/>
  <c r="E46" i="30"/>
  <c r="A46" i="30"/>
  <c r="E36" i="30" s="1"/>
  <c r="W45" i="30"/>
  <c r="V45" i="30"/>
  <c r="U45" i="30"/>
  <c r="N45" i="30"/>
  <c r="M45" i="30"/>
  <c r="K45" i="30"/>
  <c r="I45" i="30"/>
  <c r="H45" i="30"/>
  <c r="F45" i="30"/>
  <c r="E45" i="30"/>
  <c r="A45" i="30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A43" i="30"/>
  <c r="E27" i="30" s="1"/>
  <c r="W42" i="30"/>
  <c r="V42" i="30"/>
  <c r="U42" i="30"/>
  <c r="N42" i="30"/>
  <c r="M42" i="30"/>
  <c r="K42" i="30"/>
  <c r="I42" i="30"/>
  <c r="H42" i="30"/>
  <c r="F42" i="30"/>
  <c r="O42" i="30" s="1" a="1"/>
  <c r="O42" i="30" s="1"/>
  <c r="E42" i="30"/>
  <c r="A42" i="30"/>
  <c r="H37" i="30" s="1"/>
  <c r="W41" i="30"/>
  <c r="V41" i="30"/>
  <c r="U41" i="30"/>
  <c r="N41" i="30"/>
  <c r="M41" i="30"/>
  <c r="K41" i="30"/>
  <c r="I41" i="30"/>
  <c r="H41" i="30"/>
  <c r="F41" i="30"/>
  <c r="E41" i="30"/>
  <c r="A41" i="30"/>
  <c r="E34" i="30" s="1"/>
  <c r="M38" i="30"/>
  <c r="H38" i="30"/>
  <c r="E38" i="30"/>
  <c r="M37" i="30"/>
  <c r="M36" i="30"/>
  <c r="M34" i="30"/>
  <c r="M33" i="30"/>
  <c r="H33" i="30"/>
  <c r="M32" i="30"/>
  <c r="H32" i="30"/>
  <c r="E32" i="30"/>
  <c r="M30" i="30"/>
  <c r="E30" i="30"/>
  <c r="M29" i="30"/>
  <c r="E29" i="30"/>
  <c r="M27" i="30"/>
  <c r="M25" i="30"/>
  <c r="H25" i="30"/>
  <c r="E25" i="30"/>
  <c r="M24" i="30"/>
  <c r="H24" i="30"/>
  <c r="M23" i="30"/>
  <c r="M21" i="30"/>
  <c r="H21" i="30"/>
  <c r="M20" i="30"/>
  <c r="E20" i="30"/>
  <c r="M19" i="30"/>
  <c r="E19" i="30"/>
  <c r="M17" i="30"/>
  <c r="H17" i="30"/>
  <c r="M16" i="30"/>
  <c r="M15" i="30"/>
  <c r="H15" i="30"/>
  <c r="E15" i="30"/>
  <c r="M13" i="30"/>
  <c r="M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A46" i="29"/>
  <c r="H33" i="29" s="1"/>
  <c r="W45" i="29"/>
  <c r="V45" i="29"/>
  <c r="U45" i="29"/>
  <c r="N45" i="29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W43" i="29"/>
  <c r="V43" i="29"/>
  <c r="U43" i="29"/>
  <c r="N43" i="29"/>
  <c r="M43" i="29"/>
  <c r="K43" i="29"/>
  <c r="I43" i="29"/>
  <c r="H43" i="29"/>
  <c r="F43" i="29"/>
  <c r="E43" i="29"/>
  <c r="A43" i="29"/>
  <c r="E32" i="29" s="1"/>
  <c r="W42" i="29"/>
  <c r="V42" i="29"/>
  <c r="U42" i="29"/>
  <c r="N42" i="29"/>
  <c r="M42" i="29"/>
  <c r="K42" i="29"/>
  <c r="I42" i="29"/>
  <c r="H42" i="29"/>
  <c r="F42" i="29"/>
  <c r="S42" i="29" s="1"/>
  <c r="E42" i="29"/>
  <c r="A42" i="29"/>
  <c r="H37" i="29" s="1"/>
  <c r="W41" i="29"/>
  <c r="V41" i="29"/>
  <c r="U41" i="29"/>
  <c r="N41" i="29"/>
  <c r="M41" i="29"/>
  <c r="K41" i="29"/>
  <c r="I41" i="29"/>
  <c r="H41" i="29"/>
  <c r="F41" i="29"/>
  <c r="E41" i="29"/>
  <c r="O41" i="29" s="1" a="1"/>
  <c r="O41" i="29" s="1"/>
  <c r="A41" i="29"/>
  <c r="H36" i="29" s="1"/>
  <c r="M38" i="29"/>
  <c r="H38" i="29"/>
  <c r="E38" i="29"/>
  <c r="M37" i="29"/>
  <c r="M36" i="29"/>
  <c r="E36" i="29"/>
  <c r="M34" i="29"/>
  <c r="M33" i="29"/>
  <c r="M32" i="29"/>
  <c r="H32" i="29"/>
  <c r="M30" i="29"/>
  <c r="E30" i="29"/>
  <c r="M29" i="29"/>
  <c r="E29" i="29"/>
  <c r="M27" i="29"/>
  <c r="H27" i="29"/>
  <c r="M25" i="29"/>
  <c r="H25" i="29"/>
  <c r="E25" i="29"/>
  <c r="M24" i="29"/>
  <c r="H24" i="29"/>
  <c r="E24" i="29"/>
  <c r="M23" i="29"/>
  <c r="M21" i="29"/>
  <c r="H21" i="29"/>
  <c r="M20" i="29"/>
  <c r="E20" i="29"/>
  <c r="M19" i="29"/>
  <c r="H19" i="29"/>
  <c r="E19" i="29"/>
  <c r="M17" i="29"/>
  <c r="H17" i="29"/>
  <c r="E17" i="29"/>
  <c r="M16" i="29"/>
  <c r="E16" i="29"/>
  <c r="M15" i="29"/>
  <c r="H15" i="29"/>
  <c r="E15" i="29"/>
  <c r="M13" i="29"/>
  <c r="H13" i="29"/>
  <c r="M12" i="29"/>
  <c r="H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S47" i="28"/>
  <c r="N47" i="28"/>
  <c r="M47" i="28"/>
  <c r="K47" i="28"/>
  <c r="I47" i="28"/>
  <c r="H47" i="28"/>
  <c r="F47" i="28"/>
  <c r="Q47" i="28" s="1"/>
  <c r="E47" i="28"/>
  <c r="A47" i="28"/>
  <c r="W46" i="28"/>
  <c r="V46" i="28"/>
  <c r="U46" i="28"/>
  <c r="N46" i="28"/>
  <c r="M46" i="28"/>
  <c r="K46" i="28"/>
  <c r="I46" i="28"/>
  <c r="H46" i="28"/>
  <c r="F46" i="28"/>
  <c r="E46" i="28"/>
  <c r="A46" i="28"/>
  <c r="W45" i="28"/>
  <c r="V45" i="28"/>
  <c r="U45" i="28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Q44" i="28" s="1"/>
  <c r="E44" i="28"/>
  <c r="A44" i="28"/>
  <c r="W43" i="28"/>
  <c r="V43" i="28"/>
  <c r="U43" i="28"/>
  <c r="N43" i="28"/>
  <c r="M43" i="28"/>
  <c r="K43" i="28"/>
  <c r="I43" i="28"/>
  <c r="H43" i="28"/>
  <c r="F43" i="28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E42" i="28"/>
  <c r="A42" i="28"/>
  <c r="W41" i="28"/>
  <c r="V41" i="28"/>
  <c r="U41" i="28"/>
  <c r="N41" i="28"/>
  <c r="M41" i="28"/>
  <c r="K41" i="28"/>
  <c r="I41" i="28"/>
  <c r="O41" i="28" s="1" a="1"/>
  <c r="O41" i="28" s="1"/>
  <c r="H41" i="28"/>
  <c r="F41" i="28"/>
  <c r="E41" i="28"/>
  <c r="A41" i="28"/>
  <c r="H36" i="28" s="1"/>
  <c r="M38" i="28"/>
  <c r="H38" i="28"/>
  <c r="M37" i="28"/>
  <c r="M36" i="28"/>
  <c r="E36" i="28"/>
  <c r="M34" i="28"/>
  <c r="M33" i="28"/>
  <c r="H33" i="28"/>
  <c r="M32" i="28"/>
  <c r="E32" i="28"/>
  <c r="M30" i="28"/>
  <c r="M29" i="28"/>
  <c r="E29" i="28"/>
  <c r="M27" i="28"/>
  <c r="H27" i="28"/>
  <c r="M25" i="28"/>
  <c r="M24" i="28"/>
  <c r="H24" i="28"/>
  <c r="E24" i="28"/>
  <c r="M23" i="28"/>
  <c r="M21" i="28"/>
  <c r="M20" i="28"/>
  <c r="E20" i="28"/>
  <c r="M19" i="28"/>
  <c r="E19" i="28"/>
  <c r="M17" i="28"/>
  <c r="E17" i="28"/>
  <c r="M16" i="28"/>
  <c r="E16" i="28"/>
  <c r="M15" i="28"/>
  <c r="H15" i="28"/>
  <c r="M13" i="28"/>
  <c r="H13" i="28"/>
  <c r="M12" i="28"/>
  <c r="H12" i="28"/>
  <c r="E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T47" i="27" s="1"/>
  <c r="H47" i="27"/>
  <c r="F47" i="27"/>
  <c r="Q47" i="27" s="1"/>
  <c r="E47" i="27"/>
  <c r="A47" i="27"/>
  <c r="W46" i="27"/>
  <c r="V46" i="27"/>
  <c r="U46" i="27"/>
  <c r="N46" i="27"/>
  <c r="M46" i="27"/>
  <c r="K46" i="27"/>
  <c r="I46" i="27"/>
  <c r="H46" i="27"/>
  <c r="F46" i="27"/>
  <c r="E46" i="27"/>
  <c r="A46" i="27"/>
  <c r="E36" i="27" s="1"/>
  <c r="W45" i="27"/>
  <c r="V45" i="27"/>
  <c r="U45" i="27"/>
  <c r="N45" i="27"/>
  <c r="M45" i="27"/>
  <c r="K45" i="27"/>
  <c r="I45" i="27"/>
  <c r="H45" i="27"/>
  <c r="F45" i="27"/>
  <c r="E45" i="27"/>
  <c r="O45" i="27" s="1" a="1"/>
  <c r="O45" i="27" s="1"/>
  <c r="A45" i="27"/>
  <c r="H20" i="27" s="1"/>
  <c r="W44" i="27"/>
  <c r="V44" i="27"/>
  <c r="U44" i="27"/>
  <c r="N44" i="27"/>
  <c r="M44" i="27"/>
  <c r="K44" i="27"/>
  <c r="I44" i="27"/>
  <c r="H44" i="27"/>
  <c r="F44" i="27"/>
  <c r="Q44" i="27" s="1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E43" i="27"/>
  <c r="A43" i="27"/>
  <c r="E27" i="27" s="1"/>
  <c r="W42" i="27"/>
  <c r="V42" i="27"/>
  <c r="U42" i="27"/>
  <c r="N42" i="27"/>
  <c r="M42" i="27"/>
  <c r="K42" i="27"/>
  <c r="I42" i="27"/>
  <c r="H42" i="27"/>
  <c r="F42" i="27"/>
  <c r="S42" i="27" s="1"/>
  <c r="E42" i="27"/>
  <c r="A42" i="27"/>
  <c r="W41" i="27"/>
  <c r="V41" i="27"/>
  <c r="U41" i="27"/>
  <c r="N41" i="27"/>
  <c r="M41" i="27"/>
  <c r="K41" i="27"/>
  <c r="I41" i="27"/>
  <c r="O41" i="27" s="1" a="1"/>
  <c r="O41" i="27" s="1"/>
  <c r="H41" i="27"/>
  <c r="F41" i="27"/>
  <c r="E41" i="27"/>
  <c r="A41" i="27"/>
  <c r="E21" i="27" s="1"/>
  <c r="M38" i="27"/>
  <c r="H38" i="27"/>
  <c r="M37" i="27"/>
  <c r="M36" i="27"/>
  <c r="M34" i="27"/>
  <c r="M33" i="27"/>
  <c r="H33" i="27"/>
  <c r="M32" i="27"/>
  <c r="E32" i="27"/>
  <c r="M30" i="27"/>
  <c r="M29" i="27"/>
  <c r="E29" i="27"/>
  <c r="M27" i="27"/>
  <c r="H27" i="27"/>
  <c r="M25" i="27"/>
  <c r="M24" i="27"/>
  <c r="H24" i="27"/>
  <c r="E24" i="27"/>
  <c r="M23" i="27"/>
  <c r="M21" i="27"/>
  <c r="M20" i="27"/>
  <c r="E20" i="27"/>
  <c r="M19" i="27"/>
  <c r="E19" i="27"/>
  <c r="M17" i="27"/>
  <c r="E17" i="27"/>
  <c r="M16" i="27"/>
  <c r="M15" i="27"/>
  <c r="M13" i="27"/>
  <c r="H13" i="27"/>
  <c r="M12" i="27"/>
  <c r="E12" i="27"/>
  <c r="M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A47" i="26"/>
  <c r="W46" i="26"/>
  <c r="V46" i="26"/>
  <c r="U46" i="26"/>
  <c r="N46" i="26"/>
  <c r="M46" i="26"/>
  <c r="K46" i="26"/>
  <c r="I46" i="26"/>
  <c r="H46" i="26"/>
  <c r="F46" i="26"/>
  <c r="E46" i="26"/>
  <c r="A46" i="26"/>
  <c r="H33" i="26" s="1"/>
  <c r="W45" i="26"/>
  <c r="V45" i="26"/>
  <c r="U45" i="26"/>
  <c r="N45" i="26"/>
  <c r="M45" i="26"/>
  <c r="K45" i="26"/>
  <c r="I45" i="26"/>
  <c r="H45" i="26"/>
  <c r="F45" i="26"/>
  <c r="O45" i="26" s="1" a="1"/>
  <c r="O45" i="26" s="1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W43" i="26"/>
  <c r="V43" i="26"/>
  <c r="U43" i="26"/>
  <c r="N43" i="26"/>
  <c r="M43" i="26"/>
  <c r="K43" i="26"/>
  <c r="I43" i="26"/>
  <c r="H43" i="26"/>
  <c r="F43" i="26"/>
  <c r="Q43" i="26" s="1"/>
  <c r="E43" i="26"/>
  <c r="A43" i="26"/>
  <c r="W42" i="26"/>
  <c r="V42" i="26"/>
  <c r="U42" i="26"/>
  <c r="N42" i="26"/>
  <c r="M42" i="26"/>
  <c r="K42" i="26"/>
  <c r="I42" i="26"/>
  <c r="H42" i="26"/>
  <c r="F42" i="26"/>
  <c r="E42" i="26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O41" i="26" s="1" a="1"/>
  <c r="O41" i="26" s="1"/>
  <c r="A41" i="26"/>
  <c r="E11" i="26" s="1"/>
  <c r="M38" i="26"/>
  <c r="H38" i="26"/>
  <c r="E38" i="26"/>
  <c r="M37" i="26"/>
  <c r="H37" i="26"/>
  <c r="M36" i="26"/>
  <c r="E36" i="26"/>
  <c r="M34" i="26"/>
  <c r="M33" i="26"/>
  <c r="E33" i="26"/>
  <c r="M32" i="26"/>
  <c r="H32" i="26"/>
  <c r="M30" i="26"/>
  <c r="E30" i="26"/>
  <c r="M29" i="26"/>
  <c r="E29" i="26"/>
  <c r="M27" i="26"/>
  <c r="M25" i="26"/>
  <c r="H25" i="26"/>
  <c r="E25" i="26"/>
  <c r="M24" i="26"/>
  <c r="H24" i="26"/>
  <c r="E24" i="26"/>
  <c r="M23" i="26"/>
  <c r="M21" i="26"/>
  <c r="H21" i="26"/>
  <c r="M20" i="26"/>
  <c r="E20" i="26"/>
  <c r="M19" i="26"/>
  <c r="E19" i="26"/>
  <c r="M17" i="26"/>
  <c r="H17" i="26"/>
  <c r="E17" i="26"/>
  <c r="M16" i="26"/>
  <c r="E16" i="26"/>
  <c r="M15" i="26"/>
  <c r="E15" i="26"/>
  <c r="M13" i="26"/>
  <c r="H13" i="26"/>
  <c r="M12" i="26"/>
  <c r="H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O48" i="25" s="1" a="1"/>
  <c r="O48" i="25" s="1"/>
  <c r="X48" i="25" s="1"/>
  <c r="A48" i="25"/>
  <c r="W47" i="25"/>
  <c r="V47" i="25"/>
  <c r="U47" i="25"/>
  <c r="N47" i="25"/>
  <c r="M47" i="25"/>
  <c r="K47" i="25"/>
  <c r="I47" i="25"/>
  <c r="H47" i="25"/>
  <c r="F47" i="25"/>
  <c r="E47" i="25"/>
  <c r="S47" i="25" s="1"/>
  <c r="A47" i="25"/>
  <c r="W46" i="25"/>
  <c r="V46" i="25"/>
  <c r="U46" i="25"/>
  <c r="N46" i="25"/>
  <c r="M46" i="25"/>
  <c r="K46" i="25"/>
  <c r="I46" i="25"/>
  <c r="H46" i="25"/>
  <c r="F46" i="25"/>
  <c r="Q46" i="25" s="1"/>
  <c r="E46" i="25"/>
  <c r="A46" i="25"/>
  <c r="W45" i="25"/>
  <c r="V45" i="25"/>
  <c r="U45" i="25"/>
  <c r="N45" i="25"/>
  <c r="M45" i="25"/>
  <c r="K45" i="25"/>
  <c r="I45" i="25"/>
  <c r="O45" i="25" s="1" a="1"/>
  <c r="O45" i="25" s="1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W43" i="25"/>
  <c r="V43" i="25"/>
  <c r="U43" i="25"/>
  <c r="N43" i="25"/>
  <c r="M43" i="25"/>
  <c r="K43" i="25"/>
  <c r="I43" i="25"/>
  <c r="H43" i="25"/>
  <c r="F43" i="25"/>
  <c r="Q43" i="25" s="1"/>
  <c r="E43" i="25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E34" i="25" s="1"/>
  <c r="M38" i="25"/>
  <c r="H38" i="25"/>
  <c r="E38" i="25"/>
  <c r="M37" i="25"/>
  <c r="M36" i="25"/>
  <c r="H36" i="25"/>
  <c r="E36" i="25"/>
  <c r="M34" i="25"/>
  <c r="M33" i="25"/>
  <c r="M32" i="25"/>
  <c r="H32" i="25"/>
  <c r="E32" i="25"/>
  <c r="M30" i="25"/>
  <c r="E30" i="25"/>
  <c r="M29" i="25"/>
  <c r="E29" i="25"/>
  <c r="M27" i="25"/>
  <c r="M25" i="25"/>
  <c r="H25" i="25"/>
  <c r="E25" i="25"/>
  <c r="M24" i="25"/>
  <c r="H24" i="25"/>
  <c r="M23" i="25"/>
  <c r="H23" i="25"/>
  <c r="M21" i="25"/>
  <c r="H21" i="25"/>
  <c r="M20" i="25"/>
  <c r="E20" i="25"/>
  <c r="M19" i="25"/>
  <c r="E19" i="25"/>
  <c r="M17" i="25"/>
  <c r="H17" i="25"/>
  <c r="M16" i="25"/>
  <c r="E16" i="25"/>
  <c r="M15" i="25"/>
  <c r="H15" i="25"/>
  <c r="E15" i="25"/>
  <c r="M13" i="25"/>
  <c r="M12" i="25"/>
  <c r="H12" i="25"/>
  <c r="E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Q47" i="24" s="1"/>
  <c r="E47" i="24"/>
  <c r="A47" i="24"/>
  <c r="W46" i="24"/>
  <c r="V46" i="24"/>
  <c r="U46" i="24"/>
  <c r="N46" i="24"/>
  <c r="M46" i="24"/>
  <c r="O46" i="24" s="1" a="1"/>
  <c r="O46" i="24" s="1"/>
  <c r="X46" i="24" s="1"/>
  <c r="K46" i="24"/>
  <c r="I46" i="24"/>
  <c r="H46" i="24"/>
  <c r="F46" i="24"/>
  <c r="E46" i="24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T45" i="24" s="1"/>
  <c r="A45" i="24"/>
  <c r="W44" i="24"/>
  <c r="V44" i="24"/>
  <c r="U44" i="24"/>
  <c r="N44" i="24"/>
  <c r="M44" i="24"/>
  <c r="K44" i="24"/>
  <c r="I44" i="24"/>
  <c r="S44" i="24" s="1"/>
  <c r="H44" i="24"/>
  <c r="F44" i="24"/>
  <c r="E44" i="24"/>
  <c r="A44" i="24"/>
  <c r="W43" i="24"/>
  <c r="V43" i="24"/>
  <c r="U43" i="24"/>
  <c r="N43" i="24"/>
  <c r="M43" i="24"/>
  <c r="K43" i="24"/>
  <c r="I43" i="24"/>
  <c r="H43" i="24"/>
  <c r="F43" i="24"/>
  <c r="E43" i="24"/>
  <c r="A43" i="24"/>
  <c r="E32" i="24" s="1"/>
  <c r="W42" i="24"/>
  <c r="V42" i="24"/>
  <c r="U42" i="24"/>
  <c r="N42" i="24"/>
  <c r="M42" i="24"/>
  <c r="K42" i="24"/>
  <c r="I42" i="24"/>
  <c r="H42" i="24"/>
  <c r="F42" i="24"/>
  <c r="E42" i="24"/>
  <c r="O42" i="24" s="1" a="1"/>
  <c r="O42" i="24" s="1"/>
  <c r="X42" i="24" s="1"/>
  <c r="A42" i="24"/>
  <c r="H19" i="24" s="1"/>
  <c r="W41" i="24"/>
  <c r="V41" i="24"/>
  <c r="U41" i="24"/>
  <c r="N41" i="24"/>
  <c r="M41" i="24"/>
  <c r="K41" i="24"/>
  <c r="I41" i="24"/>
  <c r="H41" i="24"/>
  <c r="F41" i="24"/>
  <c r="E41" i="24"/>
  <c r="A41" i="24"/>
  <c r="H29" i="24" s="1"/>
  <c r="M38" i="24"/>
  <c r="H38" i="24"/>
  <c r="E38" i="24"/>
  <c r="M37" i="24"/>
  <c r="E37" i="24"/>
  <c r="M36" i="24"/>
  <c r="M34" i="24"/>
  <c r="H34" i="24"/>
  <c r="E34" i="24"/>
  <c r="M33" i="24"/>
  <c r="M32" i="24"/>
  <c r="H32" i="24"/>
  <c r="M30" i="24"/>
  <c r="H30" i="24"/>
  <c r="E30" i="24"/>
  <c r="M29" i="24"/>
  <c r="E29" i="24"/>
  <c r="M27" i="24"/>
  <c r="M25" i="24"/>
  <c r="H25" i="24"/>
  <c r="E25" i="24"/>
  <c r="M24" i="24"/>
  <c r="H24" i="24"/>
  <c r="M23" i="24"/>
  <c r="E23" i="24"/>
  <c r="M21" i="24"/>
  <c r="H21" i="24"/>
  <c r="M20" i="24"/>
  <c r="H20" i="24"/>
  <c r="M19" i="24"/>
  <c r="E19" i="24"/>
  <c r="M17" i="24"/>
  <c r="H17" i="24"/>
  <c r="M16" i="24"/>
  <c r="H16" i="24"/>
  <c r="E16" i="24"/>
  <c r="M15" i="24"/>
  <c r="E15" i="24"/>
  <c r="M13" i="24"/>
  <c r="E13" i="24"/>
  <c r="M12" i="24"/>
  <c r="H12" i="24"/>
  <c r="E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M46" i="23"/>
  <c r="K46" i="23"/>
  <c r="I46" i="23"/>
  <c r="H46" i="23"/>
  <c r="F46" i="23"/>
  <c r="E46" i="23"/>
  <c r="A46" i="23"/>
  <c r="W45" i="23"/>
  <c r="V45" i="23"/>
  <c r="U45" i="23"/>
  <c r="N45" i="23"/>
  <c r="M45" i="23"/>
  <c r="K45" i="23"/>
  <c r="I45" i="23"/>
  <c r="H45" i="23"/>
  <c r="F45" i="23"/>
  <c r="E45" i="23"/>
  <c r="O45" i="23" s="1" a="1"/>
  <c r="O45" i="23" s="1"/>
  <c r="X45" i="23" s="1"/>
  <c r="A45" i="23"/>
  <c r="H20" i="23" s="1"/>
  <c r="W44" i="23"/>
  <c r="V44" i="23"/>
  <c r="U44" i="23"/>
  <c r="N44" i="23"/>
  <c r="M44" i="23"/>
  <c r="K44" i="23"/>
  <c r="I44" i="23"/>
  <c r="H44" i="23"/>
  <c r="F44" i="23"/>
  <c r="O44" i="23" s="1" a="1"/>
  <c r="O44" i="23" s="1"/>
  <c r="X44" i="23" s="1"/>
  <c r="E44" i="23"/>
  <c r="A44" i="23"/>
  <c r="W43" i="23"/>
  <c r="V43" i="23"/>
  <c r="U43" i="23"/>
  <c r="N43" i="23"/>
  <c r="M43" i="23"/>
  <c r="K43" i="23"/>
  <c r="I43" i="23"/>
  <c r="H43" i="23"/>
  <c r="F43" i="23"/>
  <c r="E43" i="23"/>
  <c r="A43" i="23"/>
  <c r="W42" i="23"/>
  <c r="V42" i="23"/>
  <c r="U42" i="23"/>
  <c r="N42" i="23"/>
  <c r="M42" i="23"/>
  <c r="K42" i="23"/>
  <c r="I42" i="23"/>
  <c r="H42" i="23"/>
  <c r="F42" i="23"/>
  <c r="E42" i="23"/>
  <c r="A42" i="23"/>
  <c r="W41" i="23"/>
  <c r="V41" i="23"/>
  <c r="U41" i="23"/>
  <c r="N41" i="23"/>
  <c r="M41" i="23"/>
  <c r="K41" i="23"/>
  <c r="I41" i="23"/>
  <c r="H41" i="23"/>
  <c r="F41" i="23"/>
  <c r="E41" i="23"/>
  <c r="A41" i="23"/>
  <c r="E34" i="23" s="1"/>
  <c r="M38" i="23"/>
  <c r="H38" i="23"/>
  <c r="M37" i="23"/>
  <c r="M36" i="23"/>
  <c r="E36" i="23"/>
  <c r="M34" i="23"/>
  <c r="M33" i="23"/>
  <c r="H33" i="23"/>
  <c r="M32" i="23"/>
  <c r="E32" i="23"/>
  <c r="M30" i="23"/>
  <c r="M29" i="23"/>
  <c r="E29" i="23"/>
  <c r="M27" i="23"/>
  <c r="H27" i="23"/>
  <c r="E27" i="23"/>
  <c r="M25" i="23"/>
  <c r="M24" i="23"/>
  <c r="H24" i="23"/>
  <c r="E24" i="23"/>
  <c r="M23" i="23"/>
  <c r="H23" i="23"/>
  <c r="M21" i="23"/>
  <c r="M20" i="23"/>
  <c r="E20" i="23"/>
  <c r="M19" i="23"/>
  <c r="E19" i="23"/>
  <c r="M17" i="23"/>
  <c r="H17" i="23"/>
  <c r="E17" i="23"/>
  <c r="M16" i="23"/>
  <c r="E16" i="23"/>
  <c r="M15" i="23"/>
  <c r="H15" i="23"/>
  <c r="M13" i="23"/>
  <c r="H13" i="23"/>
  <c r="M12" i="23"/>
  <c r="H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W46" i="22"/>
  <c r="V46" i="22"/>
  <c r="U46" i="22"/>
  <c r="N46" i="22"/>
  <c r="M46" i="22"/>
  <c r="K46" i="22"/>
  <c r="I46" i="22"/>
  <c r="H46" i="22"/>
  <c r="F46" i="22"/>
  <c r="E46" i="22"/>
  <c r="A46" i="22"/>
  <c r="E36" i="22" s="1"/>
  <c r="W45" i="22"/>
  <c r="V45" i="22"/>
  <c r="U45" i="22"/>
  <c r="N45" i="22"/>
  <c r="M45" i="22"/>
  <c r="K45" i="22"/>
  <c r="I45" i="22"/>
  <c r="H45" i="22"/>
  <c r="F45" i="22"/>
  <c r="E45" i="22"/>
  <c r="A45" i="22"/>
  <c r="H34" i="22" s="1"/>
  <c r="W44" i="22"/>
  <c r="V44" i="22"/>
  <c r="U44" i="22"/>
  <c r="N44" i="22"/>
  <c r="M44" i="22"/>
  <c r="K44" i="22"/>
  <c r="I44" i="22"/>
  <c r="H44" i="22"/>
  <c r="F44" i="22"/>
  <c r="S44" i="22" s="1"/>
  <c r="E44" i="22"/>
  <c r="A44" i="22"/>
  <c r="E16" i="22" s="1"/>
  <c r="W43" i="22"/>
  <c r="V43" i="22"/>
  <c r="U43" i="22"/>
  <c r="N43" i="22"/>
  <c r="M43" i="22"/>
  <c r="K43" i="22"/>
  <c r="I43" i="22"/>
  <c r="H43" i="22"/>
  <c r="F43" i="22"/>
  <c r="E43" i="22"/>
  <c r="A43" i="22"/>
  <c r="E27" i="22" s="1"/>
  <c r="W42" i="22"/>
  <c r="V42" i="22"/>
  <c r="U42" i="22"/>
  <c r="N42" i="22"/>
  <c r="M42" i="22"/>
  <c r="K42" i="22"/>
  <c r="I42" i="22"/>
  <c r="H42" i="22"/>
  <c r="F42" i="22"/>
  <c r="S42" i="22" s="1"/>
  <c r="E42" i="22"/>
  <c r="O42" i="22" s="1" a="1"/>
  <c r="O42" i="22" s="1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A41" i="22"/>
  <c r="H29" i="22" s="1"/>
  <c r="M38" i="22"/>
  <c r="E38" i="22"/>
  <c r="M37" i="22"/>
  <c r="E37" i="22"/>
  <c r="M36" i="22"/>
  <c r="H36" i="22"/>
  <c r="M34" i="22"/>
  <c r="E34" i="22"/>
  <c r="M33" i="22"/>
  <c r="H33" i="22"/>
  <c r="M32" i="22"/>
  <c r="M30" i="22"/>
  <c r="H30" i="22"/>
  <c r="M29" i="22"/>
  <c r="E29" i="22"/>
  <c r="M27" i="22"/>
  <c r="M25" i="22"/>
  <c r="E25" i="22"/>
  <c r="M24" i="22"/>
  <c r="H24" i="22"/>
  <c r="M23" i="22"/>
  <c r="E23" i="22"/>
  <c r="M21" i="22"/>
  <c r="M20" i="22"/>
  <c r="H20" i="22"/>
  <c r="M19" i="22"/>
  <c r="M17" i="22"/>
  <c r="M16" i="22"/>
  <c r="H16" i="22"/>
  <c r="M15" i="22"/>
  <c r="E15" i="22"/>
  <c r="M13" i="22"/>
  <c r="E13" i="22"/>
  <c r="M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E38" i="21" s="1"/>
  <c r="W46" i="21"/>
  <c r="V46" i="21"/>
  <c r="U46" i="21"/>
  <c r="N46" i="21"/>
  <c r="M46" i="21"/>
  <c r="K46" i="21"/>
  <c r="I46" i="21"/>
  <c r="H46" i="21"/>
  <c r="F46" i="21"/>
  <c r="E46" i="21"/>
  <c r="T46" i="21" s="1"/>
  <c r="A46" i="21"/>
  <c r="E24" i="21" s="1"/>
  <c r="W45" i="21"/>
  <c r="V45" i="21"/>
  <c r="U45" i="2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E43" i="21"/>
  <c r="A43" i="21"/>
  <c r="E27" i="21" s="1"/>
  <c r="W42" i="21"/>
  <c r="V42" i="21"/>
  <c r="U42" i="21"/>
  <c r="N42" i="21"/>
  <c r="M42" i="21"/>
  <c r="K42" i="21"/>
  <c r="I42" i="21"/>
  <c r="H42" i="21"/>
  <c r="F42" i="21"/>
  <c r="E42" i="21"/>
  <c r="A42" i="21"/>
  <c r="H37" i="21" s="1"/>
  <c r="W41" i="21"/>
  <c r="V41" i="21"/>
  <c r="U41" i="21"/>
  <c r="N41" i="21"/>
  <c r="M41" i="21"/>
  <c r="K41" i="21"/>
  <c r="I41" i="21"/>
  <c r="H41" i="21"/>
  <c r="F41" i="21"/>
  <c r="S41" i="21" s="1"/>
  <c r="E41" i="21"/>
  <c r="O41" i="21" s="1" a="1"/>
  <c r="O41" i="21" s="1"/>
  <c r="A41" i="21"/>
  <c r="H36" i="21" s="1"/>
  <c r="M38" i="21"/>
  <c r="M37" i="21"/>
  <c r="M36" i="21"/>
  <c r="E36" i="21"/>
  <c r="M34" i="21"/>
  <c r="M33" i="21"/>
  <c r="M32" i="21"/>
  <c r="E32" i="21"/>
  <c r="M30" i="21"/>
  <c r="E30" i="21"/>
  <c r="M29" i="21"/>
  <c r="M27" i="21"/>
  <c r="M25" i="21"/>
  <c r="H25" i="21"/>
  <c r="M24" i="21"/>
  <c r="M23" i="21"/>
  <c r="M21" i="21"/>
  <c r="M20" i="21"/>
  <c r="M19" i="21"/>
  <c r="H19" i="21"/>
  <c r="M17" i="21"/>
  <c r="H17" i="21"/>
  <c r="M16" i="21"/>
  <c r="M15" i="21"/>
  <c r="E15" i="21"/>
  <c r="M13" i="21"/>
  <c r="M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Q47" i="20" s="1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E36" i="20" s="1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W43" i="20"/>
  <c r="V43" i="20"/>
  <c r="U43" i="20"/>
  <c r="N43" i="20"/>
  <c r="M43" i="20"/>
  <c r="K43" i="20"/>
  <c r="I43" i="20"/>
  <c r="H43" i="20"/>
  <c r="F43" i="20"/>
  <c r="E43" i="20"/>
  <c r="A43" i="20"/>
  <c r="W42" i="20"/>
  <c r="V42" i="20"/>
  <c r="U42" i="20"/>
  <c r="N42" i="20"/>
  <c r="M42" i="20"/>
  <c r="K42" i="20"/>
  <c r="I42" i="20"/>
  <c r="H42" i="20"/>
  <c r="F42" i="20"/>
  <c r="Q42" i="20" s="1"/>
  <c r="E42" i="20"/>
  <c r="A42" i="20"/>
  <c r="H19" i="20" s="1"/>
  <c r="W41" i="20"/>
  <c r="V41" i="20"/>
  <c r="U41" i="20"/>
  <c r="N41" i="20"/>
  <c r="M41" i="20"/>
  <c r="K41" i="20"/>
  <c r="O41" i="20" s="1" a="1"/>
  <c r="O41" i="20" s="1"/>
  <c r="I41" i="20"/>
  <c r="H41" i="20"/>
  <c r="F41" i="20"/>
  <c r="E41" i="20"/>
  <c r="A41" i="20"/>
  <c r="H36" i="20" s="1"/>
  <c r="M38" i="20"/>
  <c r="H38" i="20"/>
  <c r="E38" i="20"/>
  <c r="M37" i="20"/>
  <c r="M36" i="20"/>
  <c r="M34" i="20"/>
  <c r="M33" i="20"/>
  <c r="H33" i="20"/>
  <c r="M32" i="20"/>
  <c r="H32" i="20"/>
  <c r="E32" i="20"/>
  <c r="M30" i="20"/>
  <c r="E30" i="20"/>
  <c r="M29" i="20"/>
  <c r="E29" i="20"/>
  <c r="M27" i="20"/>
  <c r="E27" i="20"/>
  <c r="M25" i="20"/>
  <c r="H25" i="20"/>
  <c r="E25" i="20"/>
  <c r="M24" i="20"/>
  <c r="H24" i="20"/>
  <c r="M23" i="20"/>
  <c r="H23" i="20"/>
  <c r="M21" i="20"/>
  <c r="H21" i="20"/>
  <c r="M20" i="20"/>
  <c r="E20" i="20"/>
  <c r="M19" i="20"/>
  <c r="E19" i="20"/>
  <c r="M17" i="20"/>
  <c r="H17" i="20"/>
  <c r="E17" i="20"/>
  <c r="M16" i="20"/>
  <c r="E16" i="20"/>
  <c r="M15" i="20"/>
  <c r="H15" i="20"/>
  <c r="E15" i="20"/>
  <c r="M13" i="20"/>
  <c r="H13" i="20"/>
  <c r="M12" i="20"/>
  <c r="H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T48" i="19" s="1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A46" i="19"/>
  <c r="E17" i="19" s="1"/>
  <c r="W45" i="19"/>
  <c r="V45" i="19"/>
  <c r="U45" i="19"/>
  <c r="N45" i="19"/>
  <c r="M45" i="19"/>
  <c r="K45" i="19"/>
  <c r="I45" i="19"/>
  <c r="H45" i="19"/>
  <c r="O45" i="19" s="1" a="1"/>
  <c r="O45" i="19" s="1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N43" i="19"/>
  <c r="M43" i="19"/>
  <c r="K43" i="19"/>
  <c r="I43" i="19"/>
  <c r="H43" i="19"/>
  <c r="F43" i="19"/>
  <c r="Q43" i="19" s="1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A42" i="19"/>
  <c r="H19" i="19" s="1"/>
  <c r="W41" i="19"/>
  <c r="V41" i="19"/>
  <c r="U41" i="19"/>
  <c r="N41" i="19"/>
  <c r="M41" i="19"/>
  <c r="K41" i="19"/>
  <c r="I41" i="19"/>
  <c r="H41" i="19"/>
  <c r="F41" i="19"/>
  <c r="E41" i="19"/>
  <c r="A41" i="19"/>
  <c r="E34" i="19" s="1"/>
  <c r="M38" i="19"/>
  <c r="H38" i="19"/>
  <c r="E38" i="19"/>
  <c r="M37" i="19"/>
  <c r="M36" i="19"/>
  <c r="M34" i="19"/>
  <c r="M33" i="19"/>
  <c r="M32" i="19"/>
  <c r="H32" i="19"/>
  <c r="E32" i="19"/>
  <c r="M30" i="19"/>
  <c r="E30" i="19"/>
  <c r="M29" i="19"/>
  <c r="E29" i="19"/>
  <c r="M27" i="19"/>
  <c r="M25" i="19"/>
  <c r="H25" i="19"/>
  <c r="E25" i="19"/>
  <c r="M24" i="19"/>
  <c r="H24" i="19"/>
  <c r="M23" i="19"/>
  <c r="M21" i="19"/>
  <c r="H21" i="19"/>
  <c r="M20" i="19"/>
  <c r="E20" i="19"/>
  <c r="M19" i="19"/>
  <c r="E19" i="19"/>
  <c r="M17" i="19"/>
  <c r="H17" i="19"/>
  <c r="M16" i="19"/>
  <c r="M15" i="19"/>
  <c r="H15" i="19"/>
  <c r="E15" i="19"/>
  <c r="M13" i="19"/>
  <c r="M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O48" i="18" s="1" a="1"/>
  <c r="O48" i="18" s="1"/>
  <c r="X48" i="18" s="1"/>
  <c r="A48" i="18"/>
  <c r="W47" i="18"/>
  <c r="V47" i="18"/>
  <c r="U47" i="18"/>
  <c r="N47" i="18"/>
  <c r="M47" i="18"/>
  <c r="K47" i="18"/>
  <c r="I47" i="18"/>
  <c r="H47" i="18"/>
  <c r="F47" i="18"/>
  <c r="E47" i="18"/>
  <c r="A47" i="18"/>
  <c r="W46" i="18"/>
  <c r="V46" i="18"/>
  <c r="U46" i="18"/>
  <c r="N46" i="18"/>
  <c r="M46" i="18"/>
  <c r="K46" i="18"/>
  <c r="I46" i="18"/>
  <c r="H46" i="18"/>
  <c r="F46" i="18"/>
  <c r="E46" i="18"/>
  <c r="A46" i="18"/>
  <c r="W45" i="18"/>
  <c r="V45" i="18"/>
  <c r="U45" i="18"/>
  <c r="N45" i="18"/>
  <c r="M45" i="18"/>
  <c r="K45" i="18"/>
  <c r="I45" i="18"/>
  <c r="H45" i="18"/>
  <c r="O45" i="18" s="1" a="1"/>
  <c r="O45" i="18" s="1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W43" i="18"/>
  <c r="V43" i="18"/>
  <c r="U43" i="18"/>
  <c r="N43" i="18"/>
  <c r="M43" i="18"/>
  <c r="K43" i="18"/>
  <c r="I43" i="18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O41" i="18" s="1" a="1"/>
  <c r="O41" i="18" s="1"/>
  <c r="A41" i="18"/>
  <c r="E11" i="18" s="1"/>
  <c r="M38" i="18"/>
  <c r="H38" i="18"/>
  <c r="E38" i="18"/>
  <c r="M37" i="18"/>
  <c r="M36" i="18"/>
  <c r="E36" i="18"/>
  <c r="M34" i="18"/>
  <c r="M33" i="18"/>
  <c r="M32" i="18"/>
  <c r="H32" i="18"/>
  <c r="E32" i="18"/>
  <c r="M30" i="18"/>
  <c r="E30" i="18"/>
  <c r="M29" i="18"/>
  <c r="E29" i="18"/>
  <c r="M27" i="18"/>
  <c r="M25" i="18"/>
  <c r="H25" i="18"/>
  <c r="E25" i="18"/>
  <c r="M24" i="18"/>
  <c r="H24" i="18"/>
  <c r="M23" i="18"/>
  <c r="M21" i="18"/>
  <c r="H21" i="18"/>
  <c r="M20" i="18"/>
  <c r="E20" i="18"/>
  <c r="M19" i="18"/>
  <c r="E19" i="18"/>
  <c r="M17" i="18"/>
  <c r="H17" i="18"/>
  <c r="M16" i="18"/>
  <c r="E16" i="18"/>
  <c r="M15" i="18"/>
  <c r="M13" i="18"/>
  <c r="M12" i="18"/>
  <c r="H12" i="18"/>
  <c r="E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S47" i="17" s="1"/>
  <c r="E47" i="17"/>
  <c r="A47" i="17"/>
  <c r="W46" i="17"/>
  <c r="V46" i="17"/>
  <c r="U46" i="17"/>
  <c r="N46" i="17"/>
  <c r="M46" i="17"/>
  <c r="K46" i="17"/>
  <c r="I46" i="17"/>
  <c r="H46" i="17"/>
  <c r="F46" i="17"/>
  <c r="E46" i="17"/>
  <c r="A46" i="17"/>
  <c r="W45" i="17"/>
  <c r="V45" i="17"/>
  <c r="U45" i="17"/>
  <c r="N45" i="17"/>
  <c r="M45" i="17"/>
  <c r="K45" i="17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H38" i="17" s="1"/>
  <c r="W43" i="17"/>
  <c r="V43" i="17"/>
  <c r="U43" i="17"/>
  <c r="N43" i="17"/>
  <c r="M43" i="17"/>
  <c r="K43" i="17"/>
  <c r="I43" i="17"/>
  <c r="H43" i="17"/>
  <c r="F43" i="17"/>
  <c r="E43" i="17"/>
  <c r="R43" i="17" s="1"/>
  <c r="A43" i="17"/>
  <c r="E27" i="17" s="1"/>
  <c r="W42" i="17"/>
  <c r="V42" i="17"/>
  <c r="U42" i="17"/>
  <c r="N42" i="17"/>
  <c r="M42" i="17"/>
  <c r="K42" i="17"/>
  <c r="I42" i="17"/>
  <c r="H42" i="17"/>
  <c r="F42" i="17"/>
  <c r="E42" i="17"/>
  <c r="A42" i="17"/>
  <c r="H37" i="17" s="1"/>
  <c r="W41" i="17"/>
  <c r="V41" i="17"/>
  <c r="U41" i="17"/>
  <c r="O41" i="17" a="1"/>
  <c r="O41" i="17" s="1"/>
  <c r="N41" i="17"/>
  <c r="M41" i="17"/>
  <c r="K41" i="17"/>
  <c r="I41" i="17"/>
  <c r="H41" i="17"/>
  <c r="F41" i="17"/>
  <c r="E41" i="17"/>
  <c r="A41" i="17"/>
  <c r="H36" i="17" s="1"/>
  <c r="M38" i="17"/>
  <c r="E38" i="17"/>
  <c r="M37" i="17"/>
  <c r="M36" i="17"/>
  <c r="E36" i="17"/>
  <c r="M34" i="17"/>
  <c r="M33" i="17"/>
  <c r="H33" i="17"/>
  <c r="M32" i="17"/>
  <c r="H32" i="17"/>
  <c r="M30" i="17"/>
  <c r="E30" i="17"/>
  <c r="M29" i="17"/>
  <c r="E29" i="17"/>
  <c r="M27" i="17"/>
  <c r="H27" i="17"/>
  <c r="M25" i="17"/>
  <c r="H25" i="17"/>
  <c r="E25" i="17"/>
  <c r="M24" i="17"/>
  <c r="H24" i="17"/>
  <c r="E24" i="17"/>
  <c r="M23" i="17"/>
  <c r="M21" i="17"/>
  <c r="H21" i="17"/>
  <c r="M20" i="17"/>
  <c r="M19" i="17"/>
  <c r="H19" i="17"/>
  <c r="E19" i="17"/>
  <c r="M17" i="17"/>
  <c r="H17" i="17"/>
  <c r="E17" i="17"/>
  <c r="M16" i="17"/>
  <c r="E16" i="17"/>
  <c r="M15" i="17"/>
  <c r="H15" i="17"/>
  <c r="E15" i="17"/>
  <c r="M13" i="17"/>
  <c r="H13" i="17"/>
  <c r="M12" i="17"/>
  <c r="H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S47" i="16" s="1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E36" i="16" s="1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E16" i="16" s="1"/>
  <c r="W43" i="16"/>
  <c r="V43" i="16"/>
  <c r="U43" i="16"/>
  <c r="N43" i="16"/>
  <c r="M43" i="16"/>
  <c r="K43" i="16"/>
  <c r="I43" i="16"/>
  <c r="H43" i="16"/>
  <c r="F43" i="16"/>
  <c r="E43" i="16"/>
  <c r="R43" i="16" s="1"/>
  <c r="A43" i="16"/>
  <c r="E27" i="16" s="1"/>
  <c r="W42" i="16"/>
  <c r="V42" i="16"/>
  <c r="U42" i="16"/>
  <c r="N42" i="16"/>
  <c r="M42" i="16"/>
  <c r="K42" i="16"/>
  <c r="I42" i="16"/>
  <c r="S42" i="16" s="1"/>
  <c r="H42" i="16"/>
  <c r="F42" i="16"/>
  <c r="E42" i="16"/>
  <c r="A42" i="16"/>
  <c r="H19" i="16" s="1"/>
  <c r="W41" i="16"/>
  <c r="V41" i="16"/>
  <c r="U41" i="16"/>
  <c r="O41" i="16" a="1"/>
  <c r="O41" i="16" s="1"/>
  <c r="N41" i="16"/>
  <c r="M41" i="16"/>
  <c r="K41" i="16"/>
  <c r="I41" i="16"/>
  <c r="H41" i="16"/>
  <c r="F41" i="16"/>
  <c r="E41" i="16"/>
  <c r="A41" i="16"/>
  <c r="H36" i="16" s="1"/>
  <c r="M38" i="16"/>
  <c r="E38" i="16"/>
  <c r="M37" i="16"/>
  <c r="M36" i="16"/>
  <c r="M34" i="16"/>
  <c r="M33" i="16"/>
  <c r="H33" i="16"/>
  <c r="M32" i="16"/>
  <c r="H32" i="16"/>
  <c r="M30" i="16"/>
  <c r="E30" i="16"/>
  <c r="M29" i="16"/>
  <c r="M27" i="16"/>
  <c r="M25" i="16"/>
  <c r="H25" i="16"/>
  <c r="E25" i="16"/>
  <c r="M24" i="16"/>
  <c r="M23" i="16"/>
  <c r="M21" i="16"/>
  <c r="H21" i="16"/>
  <c r="M20" i="16"/>
  <c r="M19" i="16"/>
  <c r="M17" i="16"/>
  <c r="H17" i="16"/>
  <c r="E17" i="16"/>
  <c r="M16" i="16"/>
  <c r="M15" i="16"/>
  <c r="E15" i="16"/>
  <c r="M13" i="16"/>
  <c r="H13" i="16"/>
  <c r="M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O48" i="15" s="1" a="1"/>
  <c r="O48" i="15" s="1"/>
  <c r="X48" i="15" s="1"/>
  <c r="A48" i="15"/>
  <c r="W47" i="15"/>
  <c r="V47" i="15"/>
  <c r="U47" i="15"/>
  <c r="N47" i="15"/>
  <c r="M47" i="15"/>
  <c r="K47" i="15"/>
  <c r="I47" i="15"/>
  <c r="H47" i="15"/>
  <c r="F47" i="15"/>
  <c r="E47" i="15"/>
  <c r="S47" i="15" s="1"/>
  <c r="A47" i="15"/>
  <c r="W46" i="15"/>
  <c r="V46" i="15"/>
  <c r="U46" i="15"/>
  <c r="N46" i="15"/>
  <c r="M46" i="15"/>
  <c r="K46" i="15"/>
  <c r="I46" i="15"/>
  <c r="H46" i="15"/>
  <c r="F46" i="15"/>
  <c r="E46" i="15"/>
  <c r="A46" i="15"/>
  <c r="W45" i="15"/>
  <c r="V45" i="15"/>
  <c r="U45" i="15"/>
  <c r="N45" i="15"/>
  <c r="M45" i="15"/>
  <c r="K45" i="15"/>
  <c r="I45" i="15"/>
  <c r="H45" i="15"/>
  <c r="F45" i="15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E16" i="15" s="1"/>
  <c r="W43" i="15"/>
  <c r="V43" i="15"/>
  <c r="U43" i="15"/>
  <c r="N43" i="15"/>
  <c r="M43" i="15"/>
  <c r="K43" i="15"/>
  <c r="I43" i="15"/>
  <c r="H43" i="15"/>
  <c r="F43" i="15"/>
  <c r="Q43" i="15" s="1"/>
  <c r="E43" i="15"/>
  <c r="A43" i="15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N41" i="15"/>
  <c r="M41" i="15"/>
  <c r="K41" i="15"/>
  <c r="I41" i="15"/>
  <c r="H41" i="15"/>
  <c r="F41" i="15"/>
  <c r="E41" i="15"/>
  <c r="A41" i="15"/>
  <c r="H29" i="15" s="1"/>
  <c r="M38" i="15"/>
  <c r="H38" i="15"/>
  <c r="E38" i="15"/>
  <c r="M37" i="15"/>
  <c r="M36" i="15"/>
  <c r="M34" i="15"/>
  <c r="M33" i="15"/>
  <c r="E33" i="15"/>
  <c r="M32" i="15"/>
  <c r="H32" i="15"/>
  <c r="E32" i="15"/>
  <c r="M30" i="15"/>
  <c r="E30" i="15"/>
  <c r="M29" i="15"/>
  <c r="E29" i="15"/>
  <c r="M27" i="15"/>
  <c r="E27" i="15"/>
  <c r="M25" i="15"/>
  <c r="H25" i="15"/>
  <c r="E25" i="15"/>
  <c r="M24" i="15"/>
  <c r="H24" i="15"/>
  <c r="M23" i="15"/>
  <c r="H23" i="15"/>
  <c r="M21" i="15"/>
  <c r="H21" i="15"/>
  <c r="M20" i="15"/>
  <c r="E20" i="15"/>
  <c r="M19" i="15"/>
  <c r="H19" i="15"/>
  <c r="E19" i="15"/>
  <c r="M17" i="15"/>
  <c r="H17" i="15"/>
  <c r="M16" i="15"/>
  <c r="M15" i="15"/>
  <c r="H15" i="15"/>
  <c r="E15" i="15"/>
  <c r="M13" i="15"/>
  <c r="M12" i="15"/>
  <c r="H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H26" i="14" s="1"/>
  <c r="W47" i="14"/>
  <c r="V47" i="14"/>
  <c r="U47" i="14"/>
  <c r="N47" i="14"/>
  <c r="M47" i="14"/>
  <c r="K47" i="14"/>
  <c r="I47" i="14"/>
  <c r="H47" i="14"/>
  <c r="F47" i="14"/>
  <c r="E47" i="14"/>
  <c r="A47" i="14"/>
  <c r="W46" i="14"/>
  <c r="V46" i="14"/>
  <c r="U46" i="14"/>
  <c r="O46" i="14" a="1"/>
  <c r="O46" i="14" s="1"/>
  <c r="N46" i="14"/>
  <c r="M46" i="14"/>
  <c r="K46" i="14"/>
  <c r="I46" i="14"/>
  <c r="H46" i="14"/>
  <c r="F46" i="14"/>
  <c r="E46" i="14"/>
  <c r="T46" i="14" s="1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A45" i="14"/>
  <c r="W44" i="14"/>
  <c r="V44" i="14"/>
  <c r="U44" i="14"/>
  <c r="N44" i="14"/>
  <c r="M44" i="14"/>
  <c r="K44" i="14"/>
  <c r="I44" i="14"/>
  <c r="H44" i="14"/>
  <c r="F44" i="14"/>
  <c r="E44" i="14"/>
  <c r="A44" i="14"/>
  <c r="H31" i="14" s="1"/>
  <c r="W43" i="14"/>
  <c r="V43" i="14"/>
  <c r="U43" i="14"/>
  <c r="N43" i="14"/>
  <c r="M43" i="14"/>
  <c r="K43" i="14"/>
  <c r="I43" i="14"/>
  <c r="H43" i="14"/>
  <c r="F43" i="14"/>
  <c r="E43" i="14"/>
  <c r="R43" i="14" s="1"/>
  <c r="A43" i="14"/>
  <c r="H35" i="14" s="1"/>
  <c r="W42" i="14"/>
  <c r="V42" i="14"/>
  <c r="U42" i="14"/>
  <c r="N42" i="14"/>
  <c r="M42" i="14"/>
  <c r="K42" i="14"/>
  <c r="I42" i="14"/>
  <c r="H42" i="14"/>
  <c r="F42" i="14"/>
  <c r="E42" i="14"/>
  <c r="O42" i="14" s="1" a="1"/>
  <c r="O42" i="14" s="1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T41" i="14" s="1"/>
  <c r="A41" i="14"/>
  <c r="M38" i="14"/>
  <c r="E38" i="14"/>
  <c r="M37" i="14"/>
  <c r="E37" i="14"/>
  <c r="M36" i="14"/>
  <c r="M35" i="14"/>
  <c r="E35" i="14"/>
  <c r="M34" i="14"/>
  <c r="H34" i="14"/>
  <c r="M33" i="14"/>
  <c r="M32" i="14"/>
  <c r="H32" i="14"/>
  <c r="M31" i="14"/>
  <c r="E31" i="14"/>
  <c r="M30" i="14"/>
  <c r="H30" i="14"/>
  <c r="E30" i="14"/>
  <c r="M29" i="14"/>
  <c r="E29" i="14"/>
  <c r="M28" i="14"/>
  <c r="H28" i="14"/>
  <c r="M27" i="14"/>
  <c r="E27" i="14"/>
  <c r="M26" i="14"/>
  <c r="E26" i="14"/>
  <c r="M25" i="14"/>
  <c r="H25" i="14"/>
  <c r="M24" i="14"/>
  <c r="H24" i="14"/>
  <c r="M23" i="14"/>
  <c r="M22" i="14"/>
  <c r="H22" i="14"/>
  <c r="M21" i="14"/>
  <c r="H21" i="14"/>
  <c r="M20" i="14"/>
  <c r="H20" i="14"/>
  <c r="M19" i="14"/>
  <c r="E19" i="14"/>
  <c r="M18" i="14"/>
  <c r="E18" i="14"/>
  <c r="M17" i="14"/>
  <c r="H17" i="14"/>
  <c r="M16" i="14"/>
  <c r="H16" i="14"/>
  <c r="E16" i="14"/>
  <c r="M15" i="14"/>
  <c r="H15" i="14"/>
  <c r="M14" i="14"/>
  <c r="H14" i="14"/>
  <c r="E14" i="14"/>
  <c r="M13" i="14"/>
  <c r="E13" i="14"/>
  <c r="M12" i="14"/>
  <c r="H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Q48" i="13" s="1"/>
  <c r="A48" i="13"/>
  <c r="W47" i="13"/>
  <c r="V47" i="13"/>
  <c r="U47" i="13"/>
  <c r="N47" i="13"/>
  <c r="M47" i="13"/>
  <c r="K47" i="13"/>
  <c r="I47" i="13"/>
  <c r="S47" i="13" s="1"/>
  <c r="H47" i="13"/>
  <c r="F47" i="13"/>
  <c r="E47" i="13"/>
  <c r="A47" i="13"/>
  <c r="W46" i="13"/>
  <c r="V46" i="13"/>
  <c r="U46" i="13"/>
  <c r="N46" i="13"/>
  <c r="M46" i="13"/>
  <c r="K46" i="13"/>
  <c r="I46" i="13"/>
  <c r="H46" i="13"/>
  <c r="F46" i="13"/>
  <c r="E46" i="13"/>
  <c r="T46" i="13" s="1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E16" i="13" s="1"/>
  <c r="W43" i="13"/>
  <c r="V43" i="13"/>
  <c r="U43" i="13"/>
  <c r="N43" i="13"/>
  <c r="M43" i="13"/>
  <c r="K43" i="13"/>
  <c r="I43" i="13"/>
  <c r="H43" i="13"/>
  <c r="F43" i="13"/>
  <c r="E43" i="13"/>
  <c r="A43" i="13"/>
  <c r="E20" i="13" s="1"/>
  <c r="W42" i="13"/>
  <c r="V42" i="13"/>
  <c r="U42" i="13"/>
  <c r="N42" i="13"/>
  <c r="M42" i="13"/>
  <c r="O42" i="13" s="1" a="1"/>
  <c r="O42" i="13" s="1"/>
  <c r="K42" i="13"/>
  <c r="I42" i="13"/>
  <c r="H42" i="13"/>
  <c r="F42" i="13"/>
  <c r="E42" i="13"/>
  <c r="A42" i="13"/>
  <c r="E28" i="13" s="1"/>
  <c r="W41" i="13"/>
  <c r="V41" i="13"/>
  <c r="U41" i="13"/>
  <c r="N41" i="13"/>
  <c r="M41" i="13"/>
  <c r="K41" i="13"/>
  <c r="I41" i="13"/>
  <c r="H41" i="13"/>
  <c r="F41" i="13"/>
  <c r="Q41" i="13" s="1"/>
  <c r="E41" i="13"/>
  <c r="O41" i="13" s="1" a="1"/>
  <c r="O41" i="13" s="1"/>
  <c r="A41" i="13"/>
  <c r="E11" i="13" s="1"/>
  <c r="M38" i="13"/>
  <c r="E38" i="13"/>
  <c r="M37" i="13"/>
  <c r="M36" i="13"/>
  <c r="M35" i="13"/>
  <c r="E35" i="13"/>
  <c r="M34" i="13"/>
  <c r="M33" i="13"/>
  <c r="M32" i="13"/>
  <c r="H32" i="13"/>
  <c r="M31" i="13"/>
  <c r="H31" i="13"/>
  <c r="E31" i="13"/>
  <c r="M30" i="13"/>
  <c r="E30" i="13"/>
  <c r="M29" i="13"/>
  <c r="M28" i="13"/>
  <c r="H28" i="13"/>
  <c r="M27" i="13"/>
  <c r="E27" i="13"/>
  <c r="M26" i="13"/>
  <c r="H26" i="13"/>
  <c r="M25" i="13"/>
  <c r="H25" i="13"/>
  <c r="M24" i="13"/>
  <c r="M23" i="13"/>
  <c r="H23" i="13"/>
  <c r="E23" i="13"/>
  <c r="M22" i="13"/>
  <c r="H22" i="13"/>
  <c r="M21" i="13"/>
  <c r="H21" i="13"/>
  <c r="M20" i="13"/>
  <c r="H20" i="13"/>
  <c r="M19" i="13"/>
  <c r="E19" i="13"/>
  <c r="M18" i="13"/>
  <c r="E18" i="13"/>
  <c r="M17" i="13"/>
  <c r="H17" i="13"/>
  <c r="M16" i="13"/>
  <c r="M15" i="13"/>
  <c r="H15" i="13"/>
  <c r="E15" i="13"/>
  <c r="M14" i="13"/>
  <c r="H14" i="13"/>
  <c r="E14" i="13"/>
  <c r="M13" i="13"/>
  <c r="M12" i="13"/>
  <c r="H12" i="13"/>
  <c r="E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O48" i="12" s="1" a="1"/>
  <c r="O48" i="12" s="1"/>
  <c r="A48" i="12"/>
  <c r="W47" i="12"/>
  <c r="V47" i="12"/>
  <c r="U47" i="12"/>
  <c r="N47" i="12"/>
  <c r="M47" i="12"/>
  <c r="K47" i="12"/>
  <c r="I47" i="12"/>
  <c r="H47" i="12"/>
  <c r="F47" i="12"/>
  <c r="E47" i="12"/>
  <c r="A47" i="12"/>
  <c r="H25" i="12" s="1"/>
  <c r="W46" i="12"/>
  <c r="V46" i="12"/>
  <c r="U46" i="12"/>
  <c r="N46" i="12"/>
  <c r="M46" i="12"/>
  <c r="K46" i="12"/>
  <c r="I46" i="12"/>
  <c r="H46" i="12"/>
  <c r="F46" i="12"/>
  <c r="E46" i="12"/>
  <c r="A46" i="12"/>
  <c r="W45" i="12"/>
  <c r="V45" i="12"/>
  <c r="U45" i="12"/>
  <c r="N45" i="12"/>
  <c r="M45" i="12"/>
  <c r="K45" i="12"/>
  <c r="I45" i="12"/>
  <c r="H45" i="12"/>
  <c r="F45" i="12"/>
  <c r="E45" i="12"/>
  <c r="O45" i="12" s="1" a="1"/>
  <c r="O45" i="12" s="1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A44" i="12"/>
  <c r="E29" i="12" s="1"/>
  <c r="W43" i="12"/>
  <c r="V43" i="12"/>
  <c r="U43" i="12"/>
  <c r="N43" i="12"/>
  <c r="M43" i="12"/>
  <c r="K43" i="12"/>
  <c r="I43" i="12"/>
  <c r="H43" i="12"/>
  <c r="F43" i="12"/>
  <c r="E43" i="12"/>
  <c r="R43" i="12" s="1"/>
  <c r="A43" i="12"/>
  <c r="E20" i="12" s="1"/>
  <c r="W42" i="12"/>
  <c r="V42" i="12"/>
  <c r="U42" i="12"/>
  <c r="N42" i="12"/>
  <c r="M42" i="12"/>
  <c r="K42" i="12"/>
  <c r="I42" i="12"/>
  <c r="H42" i="12"/>
  <c r="F42" i="12"/>
  <c r="E42" i="12"/>
  <c r="A42" i="12"/>
  <c r="H37" i="12" s="1"/>
  <c r="W41" i="12"/>
  <c r="V41" i="12"/>
  <c r="U41" i="12"/>
  <c r="O41" i="12" a="1"/>
  <c r="O41" i="12" s="1"/>
  <c r="N41" i="12"/>
  <c r="M41" i="12"/>
  <c r="K41" i="12"/>
  <c r="I41" i="12"/>
  <c r="H41" i="12"/>
  <c r="F41" i="12"/>
  <c r="E41" i="12"/>
  <c r="T41" i="12" s="1"/>
  <c r="A41" i="12"/>
  <c r="M38" i="12"/>
  <c r="H38" i="12"/>
  <c r="M37" i="12"/>
  <c r="M36" i="12"/>
  <c r="E36" i="12"/>
  <c r="M35" i="12"/>
  <c r="E35" i="12"/>
  <c r="M34" i="12"/>
  <c r="M33" i="12"/>
  <c r="H33" i="12"/>
  <c r="E33" i="12"/>
  <c r="M32" i="12"/>
  <c r="H32" i="12"/>
  <c r="M31" i="12"/>
  <c r="H31" i="12"/>
  <c r="M30" i="12"/>
  <c r="M29" i="12"/>
  <c r="M28" i="12"/>
  <c r="E28" i="12"/>
  <c r="M27" i="12"/>
  <c r="H27" i="12"/>
  <c r="E27" i="12"/>
  <c r="M26" i="12"/>
  <c r="M25" i="12"/>
  <c r="E25" i="12"/>
  <c r="M24" i="12"/>
  <c r="H24" i="12"/>
  <c r="E24" i="12"/>
  <c r="M23" i="12"/>
  <c r="M22" i="12"/>
  <c r="E22" i="12"/>
  <c r="M21" i="12"/>
  <c r="M20" i="12"/>
  <c r="H20" i="12"/>
  <c r="M19" i="12"/>
  <c r="H19" i="12"/>
  <c r="E19" i="12"/>
  <c r="M18" i="12"/>
  <c r="M17" i="12"/>
  <c r="E17" i="12"/>
  <c r="M16" i="12"/>
  <c r="E16" i="12"/>
  <c r="M15" i="12"/>
  <c r="E15" i="12"/>
  <c r="M14" i="12"/>
  <c r="M13" i="12"/>
  <c r="H13" i="12"/>
  <c r="M12" i="12"/>
  <c r="H12" i="12"/>
  <c r="M11" i="12"/>
  <c r="H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T48" i="11" s="1"/>
  <c r="E48" i="11"/>
  <c r="A48" i="11"/>
  <c r="W47" i="11"/>
  <c r="V47" i="11"/>
  <c r="U47" i="11"/>
  <c r="N47" i="11"/>
  <c r="M47" i="11"/>
  <c r="K47" i="11"/>
  <c r="I47" i="11"/>
  <c r="H47" i="11"/>
  <c r="F47" i="11"/>
  <c r="E47" i="11"/>
  <c r="S47" i="11" s="1"/>
  <c r="A47" i="11"/>
  <c r="W46" i="11"/>
  <c r="V46" i="11"/>
  <c r="U46" i="11"/>
  <c r="N46" i="11"/>
  <c r="M46" i="11"/>
  <c r="K46" i="11"/>
  <c r="I46" i="11"/>
  <c r="H46" i="11"/>
  <c r="F46" i="11"/>
  <c r="E46" i="11"/>
  <c r="T46" i="11" s="1"/>
  <c r="A46" i="11"/>
  <c r="W45" i="11"/>
  <c r="V45" i="11"/>
  <c r="U45" i="11"/>
  <c r="N45" i="11"/>
  <c r="M45" i="11"/>
  <c r="K45" i="11"/>
  <c r="I45" i="11"/>
  <c r="O45" i="11" s="1" a="1"/>
  <c r="O45" i="11" s="1"/>
  <c r="H45" i="11"/>
  <c r="F45" i="1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A44" i="11"/>
  <c r="E16" i="11" s="1"/>
  <c r="W43" i="11"/>
  <c r="V43" i="11"/>
  <c r="U43" i="11"/>
  <c r="N43" i="11"/>
  <c r="M43" i="11"/>
  <c r="K43" i="11"/>
  <c r="I43" i="11"/>
  <c r="H43" i="11"/>
  <c r="F43" i="11"/>
  <c r="E43" i="11"/>
  <c r="A43" i="11"/>
  <c r="H35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S41" i="11" s="1"/>
  <c r="E41" i="11"/>
  <c r="O41" i="11" s="1" a="1"/>
  <c r="O41" i="11" s="1"/>
  <c r="A41" i="11"/>
  <c r="H36" i="11" s="1"/>
  <c r="M38" i="11"/>
  <c r="E38" i="11"/>
  <c r="M37" i="11"/>
  <c r="M36" i="11"/>
  <c r="E36" i="11"/>
  <c r="M35" i="11"/>
  <c r="E35" i="11"/>
  <c r="M34" i="11"/>
  <c r="M33" i="11"/>
  <c r="H33" i="11"/>
  <c r="E33" i="11"/>
  <c r="M32" i="11"/>
  <c r="H32" i="11"/>
  <c r="E32" i="11"/>
  <c r="M31" i="11"/>
  <c r="E31" i="11"/>
  <c r="M30" i="11"/>
  <c r="E30" i="11"/>
  <c r="M29" i="11"/>
  <c r="M28" i="11"/>
  <c r="H28" i="11"/>
  <c r="M27" i="11"/>
  <c r="H27" i="11"/>
  <c r="E27" i="11"/>
  <c r="M26" i="11"/>
  <c r="H26" i="11"/>
  <c r="M25" i="11"/>
  <c r="H25" i="11"/>
  <c r="E25" i="11"/>
  <c r="M24" i="11"/>
  <c r="E24" i="11"/>
  <c r="M23" i="11"/>
  <c r="H23" i="11"/>
  <c r="E23" i="11"/>
  <c r="M22" i="11"/>
  <c r="H22" i="11"/>
  <c r="E22" i="11"/>
  <c r="M21" i="11"/>
  <c r="H21" i="11"/>
  <c r="M20" i="11"/>
  <c r="H20" i="11"/>
  <c r="E20" i="11"/>
  <c r="M19" i="11"/>
  <c r="M18" i="11"/>
  <c r="E18" i="11"/>
  <c r="M17" i="11"/>
  <c r="H17" i="11"/>
  <c r="E17" i="11"/>
  <c r="M16" i="11"/>
  <c r="M15" i="11"/>
  <c r="H15" i="11"/>
  <c r="E15" i="11"/>
  <c r="M14" i="11"/>
  <c r="H14" i="11"/>
  <c r="E14" i="11"/>
  <c r="M13" i="11"/>
  <c r="H13" i="11"/>
  <c r="M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S47" i="10" s="1"/>
  <c r="M47" i="10"/>
  <c r="K47" i="10"/>
  <c r="I47" i="10"/>
  <c r="H47" i="10"/>
  <c r="F47" i="10"/>
  <c r="E47" i="10"/>
  <c r="A47" i="10"/>
  <c r="E30" i="10" s="1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N45" i="10"/>
  <c r="M45" i="10"/>
  <c r="O45" i="10" s="1" a="1"/>
  <c r="O45" i="10" s="1"/>
  <c r="K45" i="10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O44" i="10" s="1" a="1"/>
  <c r="O44" i="10" s="1"/>
  <c r="A44" i="10"/>
  <c r="W43" i="10"/>
  <c r="V43" i="10"/>
  <c r="U43" i="10"/>
  <c r="N43" i="10"/>
  <c r="M43" i="10"/>
  <c r="K43" i="10"/>
  <c r="I43" i="10"/>
  <c r="S43" i="10" s="1"/>
  <c r="H43" i="10"/>
  <c r="F43" i="10"/>
  <c r="E43" i="10"/>
  <c r="A43" i="10"/>
  <c r="W42" i="10"/>
  <c r="V42" i="10"/>
  <c r="U42" i="10"/>
  <c r="N42" i="10"/>
  <c r="M42" i="10"/>
  <c r="K42" i="10"/>
  <c r="I42" i="10"/>
  <c r="H42" i="10"/>
  <c r="F42" i="10"/>
  <c r="E42" i="10"/>
  <c r="A42" i="10"/>
  <c r="H37" i="10" s="1"/>
  <c r="W41" i="10"/>
  <c r="V41" i="10"/>
  <c r="U41" i="10"/>
  <c r="N41" i="10"/>
  <c r="M41" i="10"/>
  <c r="K41" i="10"/>
  <c r="I41" i="10"/>
  <c r="H41" i="10"/>
  <c r="F41" i="10"/>
  <c r="E41" i="10"/>
  <c r="A41" i="10"/>
  <c r="H29" i="10" s="1"/>
  <c r="M38" i="10"/>
  <c r="H38" i="10"/>
  <c r="E38" i="10"/>
  <c r="M37" i="10"/>
  <c r="M36" i="10"/>
  <c r="M34" i="10"/>
  <c r="M33" i="10"/>
  <c r="H33" i="10"/>
  <c r="M32" i="10"/>
  <c r="H32" i="10"/>
  <c r="E32" i="10"/>
  <c r="M30" i="10"/>
  <c r="M29" i="10"/>
  <c r="E29" i="10"/>
  <c r="M27" i="10"/>
  <c r="E27" i="10"/>
  <c r="M25" i="10"/>
  <c r="H25" i="10"/>
  <c r="E25" i="10"/>
  <c r="M24" i="10"/>
  <c r="H24" i="10"/>
  <c r="M23" i="10"/>
  <c r="H23" i="10"/>
  <c r="M21" i="10"/>
  <c r="H21" i="10"/>
  <c r="M20" i="10"/>
  <c r="E20" i="10"/>
  <c r="M19" i="10"/>
  <c r="E19" i="10"/>
  <c r="M17" i="10"/>
  <c r="E17" i="10"/>
  <c r="M16" i="10"/>
  <c r="E16" i="10"/>
  <c r="M15" i="10"/>
  <c r="H15" i="10"/>
  <c r="M13" i="10"/>
  <c r="H13" i="10"/>
  <c r="M12" i="10"/>
  <c r="H12" i="10"/>
  <c r="E12" i="10"/>
  <c r="M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T48" i="9" s="1"/>
  <c r="E48" i="9"/>
  <c r="A48" i="9"/>
  <c r="W47" i="9"/>
  <c r="V47" i="9"/>
  <c r="U47" i="9"/>
  <c r="N47" i="9"/>
  <c r="M47" i="9"/>
  <c r="K47" i="9"/>
  <c r="I47" i="9"/>
  <c r="H47" i="9"/>
  <c r="F47" i="9"/>
  <c r="E47" i="9"/>
  <c r="A47" i="9"/>
  <c r="W46" i="9"/>
  <c r="V46" i="9"/>
  <c r="U46" i="9"/>
  <c r="N46" i="9"/>
  <c r="M46" i="9"/>
  <c r="K46" i="9"/>
  <c r="I46" i="9"/>
  <c r="H46" i="9"/>
  <c r="F46" i="9"/>
  <c r="E46" i="9"/>
  <c r="A46" i="9"/>
  <c r="E36" i="9" s="1"/>
  <c r="W45" i="9"/>
  <c r="V45" i="9"/>
  <c r="U45" i="9"/>
  <c r="N45" i="9"/>
  <c r="M45" i="9"/>
  <c r="K45" i="9"/>
  <c r="I45" i="9"/>
  <c r="H45" i="9"/>
  <c r="O45" i="9" s="1" a="1"/>
  <c r="O45" i="9" s="1"/>
  <c r="F45" i="9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E16" i="9" s="1"/>
  <c r="W43" i="9"/>
  <c r="V43" i="9"/>
  <c r="U43" i="9"/>
  <c r="N43" i="9"/>
  <c r="M43" i="9"/>
  <c r="K43" i="9"/>
  <c r="I43" i="9"/>
  <c r="S43" i="9" s="1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A42" i="9"/>
  <c r="H19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A41" i="9"/>
  <c r="H36" i="9" s="1"/>
  <c r="M38" i="9"/>
  <c r="H38" i="9"/>
  <c r="E38" i="9"/>
  <c r="M37" i="9"/>
  <c r="M36" i="9"/>
  <c r="M34" i="9"/>
  <c r="M33" i="9"/>
  <c r="H33" i="9"/>
  <c r="M32" i="9"/>
  <c r="H32" i="9"/>
  <c r="E32" i="9"/>
  <c r="M30" i="9"/>
  <c r="E30" i="9"/>
  <c r="M29" i="9"/>
  <c r="E29" i="9"/>
  <c r="M27" i="9"/>
  <c r="M25" i="9"/>
  <c r="H25" i="9"/>
  <c r="E25" i="9"/>
  <c r="M24" i="9"/>
  <c r="H24" i="9"/>
  <c r="M23" i="9"/>
  <c r="M21" i="9"/>
  <c r="H21" i="9"/>
  <c r="M20" i="9"/>
  <c r="E20" i="9"/>
  <c r="M19" i="9"/>
  <c r="E19" i="9"/>
  <c r="M17" i="9"/>
  <c r="H17" i="9"/>
  <c r="E17" i="9"/>
  <c r="M16" i="9"/>
  <c r="M15" i="9"/>
  <c r="H15" i="9"/>
  <c r="E15" i="9"/>
  <c r="M13" i="9"/>
  <c r="M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A47" i="8"/>
  <c r="W46" i="8"/>
  <c r="V46" i="8"/>
  <c r="U46" i="8"/>
  <c r="N46" i="8"/>
  <c r="M46" i="8"/>
  <c r="K46" i="8"/>
  <c r="I46" i="8"/>
  <c r="H46" i="8"/>
  <c r="F46" i="8"/>
  <c r="Q46" i="8" s="1"/>
  <c r="E46" i="8"/>
  <c r="A46" i="8"/>
  <c r="E36" i="8" s="1"/>
  <c r="W45" i="8"/>
  <c r="V45" i="8"/>
  <c r="U45" i="8"/>
  <c r="N45" i="8"/>
  <c r="M45" i="8"/>
  <c r="K45" i="8"/>
  <c r="I45" i="8"/>
  <c r="H45" i="8"/>
  <c r="O45" i="8" s="1" a="1"/>
  <c r="O45" i="8" s="1"/>
  <c r="F45" i="8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E16" i="8" s="1"/>
  <c r="W43" i="8"/>
  <c r="V43" i="8"/>
  <c r="U43" i="8"/>
  <c r="N43" i="8"/>
  <c r="M43" i="8"/>
  <c r="K43" i="8"/>
  <c r="I43" i="8"/>
  <c r="S43" i="8" s="1"/>
  <c r="H43" i="8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A42" i="8"/>
  <c r="H37" i="8" s="1"/>
  <c r="W41" i="8"/>
  <c r="V41" i="8"/>
  <c r="U41" i="8"/>
  <c r="N41" i="8"/>
  <c r="M41" i="8"/>
  <c r="K41" i="8"/>
  <c r="I41" i="8"/>
  <c r="H41" i="8"/>
  <c r="F41" i="8"/>
  <c r="E41" i="8"/>
  <c r="O41" i="8" s="1" a="1"/>
  <c r="O41" i="8" s="1"/>
  <c r="A41" i="8"/>
  <c r="E34" i="8" s="1"/>
  <c r="M38" i="8"/>
  <c r="H38" i="8"/>
  <c r="E38" i="8"/>
  <c r="M37" i="8"/>
  <c r="M36" i="8"/>
  <c r="M34" i="8"/>
  <c r="M33" i="8"/>
  <c r="M32" i="8"/>
  <c r="H32" i="8"/>
  <c r="M30" i="8"/>
  <c r="E30" i="8"/>
  <c r="M29" i="8"/>
  <c r="E29" i="8"/>
  <c r="M27" i="8"/>
  <c r="M25" i="8"/>
  <c r="H25" i="8"/>
  <c r="E25" i="8"/>
  <c r="M24" i="8"/>
  <c r="H24" i="8"/>
  <c r="E24" i="8"/>
  <c r="M23" i="8"/>
  <c r="M21" i="8"/>
  <c r="H21" i="8"/>
  <c r="M20" i="8"/>
  <c r="E20" i="8"/>
  <c r="M19" i="8"/>
  <c r="H19" i="8"/>
  <c r="E19" i="8"/>
  <c r="M17" i="8"/>
  <c r="H17" i="8"/>
  <c r="M16" i="8"/>
  <c r="M15" i="8"/>
  <c r="E15" i="8"/>
  <c r="M13" i="8"/>
  <c r="M12" i="8"/>
  <c r="E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N47" i="7"/>
  <c r="M47" i="7"/>
  <c r="K47" i="7"/>
  <c r="I47" i="7"/>
  <c r="H47" i="7"/>
  <c r="F47" i="7"/>
  <c r="Q47" i="7" s="1"/>
  <c r="E47" i="7"/>
  <c r="A47" i="7"/>
  <c r="H32" i="7" s="1"/>
  <c r="W46" i="7"/>
  <c r="V46" i="7"/>
  <c r="U46" i="7"/>
  <c r="N46" i="7"/>
  <c r="M46" i="7"/>
  <c r="K46" i="7"/>
  <c r="I46" i="7"/>
  <c r="H46" i="7"/>
  <c r="O46" i="7" s="1" a="1"/>
  <c r="O46" i="7" s="1"/>
  <c r="F46" i="7"/>
  <c r="E46" i="7"/>
  <c r="A46" i="7"/>
  <c r="E36" i="7" s="1"/>
  <c r="W45" i="7"/>
  <c r="V45" i="7"/>
  <c r="U45" i="7"/>
  <c r="N45" i="7"/>
  <c r="M45" i="7"/>
  <c r="K45" i="7"/>
  <c r="I45" i="7"/>
  <c r="H45" i="7"/>
  <c r="F45" i="7"/>
  <c r="E45" i="7"/>
  <c r="T45" i="7" s="1"/>
  <c r="A45" i="7"/>
  <c r="W44" i="7"/>
  <c r="V44" i="7"/>
  <c r="U44" i="7"/>
  <c r="N44" i="7"/>
  <c r="M44" i="7"/>
  <c r="K44" i="7"/>
  <c r="I44" i="7"/>
  <c r="O44" i="7" s="1" a="1"/>
  <c r="O44" i="7" s="1"/>
  <c r="H44" i="7"/>
  <c r="F44" i="7"/>
  <c r="E44" i="7"/>
  <c r="A44" i="7"/>
  <c r="H24" i="7" s="1"/>
  <c r="W43" i="7"/>
  <c r="V43" i="7"/>
  <c r="U43" i="7"/>
  <c r="N43" i="7"/>
  <c r="M43" i="7"/>
  <c r="K43" i="7"/>
  <c r="I43" i="7"/>
  <c r="H43" i="7"/>
  <c r="F43" i="7"/>
  <c r="E43" i="7"/>
  <c r="A43" i="7"/>
  <c r="H35" i="7" s="1"/>
  <c r="W42" i="7"/>
  <c r="V42" i="7"/>
  <c r="U42" i="7"/>
  <c r="N42" i="7"/>
  <c r="M42" i="7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E41" i="7"/>
  <c r="A41" i="7"/>
  <c r="E34" i="7" s="1"/>
  <c r="M38" i="7"/>
  <c r="E38" i="7"/>
  <c r="M37" i="7"/>
  <c r="E37" i="7"/>
  <c r="M36" i="7"/>
  <c r="H36" i="7"/>
  <c r="M35" i="7"/>
  <c r="E35" i="7"/>
  <c r="M34" i="7"/>
  <c r="H34" i="7"/>
  <c r="M33" i="7"/>
  <c r="M32" i="7"/>
  <c r="E32" i="7"/>
  <c r="M31" i="7"/>
  <c r="E31" i="7"/>
  <c r="M30" i="7"/>
  <c r="H30" i="7"/>
  <c r="E30" i="7"/>
  <c r="M29" i="7"/>
  <c r="H29" i="7"/>
  <c r="E29" i="7"/>
  <c r="M28" i="7"/>
  <c r="H28" i="7"/>
  <c r="M27" i="7"/>
  <c r="E27" i="7"/>
  <c r="M26" i="7"/>
  <c r="H26" i="7"/>
  <c r="E26" i="7"/>
  <c r="M25" i="7"/>
  <c r="M24" i="7"/>
  <c r="M23" i="7"/>
  <c r="H23" i="7"/>
  <c r="E23" i="7"/>
  <c r="M22" i="7"/>
  <c r="H22" i="7"/>
  <c r="M21" i="7"/>
  <c r="H21" i="7"/>
  <c r="E21" i="7"/>
  <c r="M20" i="7"/>
  <c r="H20" i="7"/>
  <c r="E20" i="7"/>
  <c r="M19" i="7"/>
  <c r="E19" i="7"/>
  <c r="M18" i="7"/>
  <c r="H18" i="7"/>
  <c r="E18" i="7"/>
  <c r="M17" i="7"/>
  <c r="H17" i="7"/>
  <c r="M16" i="7"/>
  <c r="H16" i="7"/>
  <c r="E16" i="7"/>
  <c r="M15" i="7"/>
  <c r="H15" i="7"/>
  <c r="M14" i="7"/>
  <c r="H14" i="7"/>
  <c r="E14" i="7"/>
  <c r="M13" i="7"/>
  <c r="E13" i="7"/>
  <c r="M12" i="7"/>
  <c r="E12" i="7"/>
  <c r="M11" i="7"/>
  <c r="E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O48" i="6" s="1" a="1"/>
  <c r="O48" i="6" s="1"/>
  <c r="X48" i="6" s="1"/>
  <c r="A48" i="6"/>
  <c r="W47" i="6"/>
  <c r="V47" i="6"/>
  <c r="U47" i="6"/>
  <c r="N47" i="6"/>
  <c r="M47" i="6"/>
  <c r="K47" i="6"/>
  <c r="I47" i="6"/>
  <c r="S47" i="6" s="1"/>
  <c r="H47" i="6"/>
  <c r="F47" i="6"/>
  <c r="E47" i="6"/>
  <c r="A47" i="6"/>
  <c r="W46" i="6"/>
  <c r="V46" i="6"/>
  <c r="U46" i="6"/>
  <c r="N46" i="6"/>
  <c r="M46" i="6"/>
  <c r="K46" i="6"/>
  <c r="I46" i="6"/>
  <c r="H46" i="6"/>
  <c r="F46" i="6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O45" i="6" s="1" a="1"/>
  <c r="O45" i="6" s="1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H12" i="6" s="1"/>
  <c r="W43" i="6"/>
  <c r="V43" i="6"/>
  <c r="U43" i="6"/>
  <c r="N43" i="6"/>
  <c r="M43" i="6"/>
  <c r="K43" i="6"/>
  <c r="I43" i="6"/>
  <c r="H43" i="6"/>
  <c r="F43" i="6"/>
  <c r="E43" i="6"/>
  <c r="R43" i="6" s="1"/>
  <c r="A43" i="6"/>
  <c r="E27" i="6" s="1"/>
  <c r="W42" i="6"/>
  <c r="V42" i="6"/>
  <c r="U42" i="6"/>
  <c r="N42" i="6"/>
  <c r="M42" i="6"/>
  <c r="K42" i="6"/>
  <c r="I42" i="6"/>
  <c r="S42" i="6" s="1"/>
  <c r="H42" i="6"/>
  <c r="F42" i="6"/>
  <c r="E42" i="6"/>
  <c r="A42" i="6"/>
  <c r="H19" i="6" s="1"/>
  <c r="W41" i="6"/>
  <c r="V41" i="6"/>
  <c r="U41" i="6"/>
  <c r="O41" i="6" a="1"/>
  <c r="O41" i="6" s="1"/>
  <c r="N41" i="6"/>
  <c r="M41" i="6"/>
  <c r="K41" i="6"/>
  <c r="I41" i="6"/>
  <c r="H41" i="6"/>
  <c r="F41" i="6"/>
  <c r="E41" i="6"/>
  <c r="A41" i="6"/>
  <c r="E34" i="6" s="1"/>
  <c r="M38" i="6"/>
  <c r="H38" i="6"/>
  <c r="E38" i="6"/>
  <c r="M37" i="6"/>
  <c r="M36" i="6"/>
  <c r="M34" i="6"/>
  <c r="M33" i="6"/>
  <c r="H33" i="6"/>
  <c r="M32" i="6"/>
  <c r="H32" i="6"/>
  <c r="E32" i="6"/>
  <c r="M30" i="6"/>
  <c r="E30" i="6"/>
  <c r="M29" i="6"/>
  <c r="M27" i="6"/>
  <c r="M25" i="6"/>
  <c r="H25" i="6"/>
  <c r="E25" i="6"/>
  <c r="M24" i="6"/>
  <c r="M23" i="6"/>
  <c r="H23" i="6"/>
  <c r="M21" i="6"/>
  <c r="H21" i="6"/>
  <c r="M20" i="6"/>
  <c r="E20" i="6"/>
  <c r="M19" i="6"/>
  <c r="M17" i="6"/>
  <c r="H17" i="6"/>
  <c r="E17" i="6"/>
  <c r="M16" i="6"/>
  <c r="E16" i="6"/>
  <c r="M15" i="6"/>
  <c r="H15" i="6"/>
  <c r="M13" i="6"/>
  <c r="H13" i="6"/>
  <c r="M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E35" i="5" s="1"/>
  <c r="W47" i="5"/>
  <c r="V47" i="5"/>
  <c r="U47" i="5"/>
  <c r="N47" i="5"/>
  <c r="M47" i="5"/>
  <c r="K47" i="5"/>
  <c r="I47" i="5"/>
  <c r="H47" i="5"/>
  <c r="F47" i="5"/>
  <c r="E47" i="5"/>
  <c r="S47" i="5" s="1"/>
  <c r="A47" i="5"/>
  <c r="W46" i="5"/>
  <c r="V46" i="5"/>
  <c r="U46" i="5"/>
  <c r="N46" i="5"/>
  <c r="M46" i="5"/>
  <c r="K46" i="5"/>
  <c r="I46" i="5"/>
  <c r="H46" i="5"/>
  <c r="F46" i="5"/>
  <c r="S46" i="5" s="1"/>
  <c r="E46" i="5"/>
  <c r="A46" i="5"/>
  <c r="E22" i="5" s="1"/>
  <c r="W45" i="5"/>
  <c r="V45" i="5"/>
  <c r="U45" i="5"/>
  <c r="N45" i="5"/>
  <c r="M45" i="5"/>
  <c r="K45" i="5"/>
  <c r="I45" i="5"/>
  <c r="H45" i="5"/>
  <c r="O45" i="5" s="1" a="1"/>
  <c r="O45" i="5" s="1"/>
  <c r="F45" i="5"/>
  <c r="E45" i="5"/>
  <c r="A45" i="5"/>
  <c r="E26" i="5" s="1"/>
  <c r="W44" i="5"/>
  <c r="V44" i="5"/>
  <c r="U44" i="5"/>
  <c r="N44" i="5"/>
  <c r="M44" i="5"/>
  <c r="K44" i="5"/>
  <c r="I44" i="5"/>
  <c r="H44" i="5"/>
  <c r="F44" i="5"/>
  <c r="E44" i="5"/>
  <c r="A44" i="5"/>
  <c r="W43" i="5"/>
  <c r="V43" i="5"/>
  <c r="U43" i="5"/>
  <c r="N43" i="5"/>
  <c r="M43" i="5"/>
  <c r="K43" i="5"/>
  <c r="I43" i="5"/>
  <c r="H43" i="5"/>
  <c r="F43" i="5"/>
  <c r="E43" i="5"/>
  <c r="S43" i="5" s="1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E34" i="5" s="1"/>
  <c r="M38" i="5"/>
  <c r="H38" i="5"/>
  <c r="E38" i="5"/>
  <c r="M37" i="5"/>
  <c r="M36" i="5"/>
  <c r="E36" i="5"/>
  <c r="M35" i="5"/>
  <c r="M34" i="5"/>
  <c r="M33" i="5"/>
  <c r="E33" i="5"/>
  <c r="M32" i="5"/>
  <c r="H32" i="5"/>
  <c r="M31" i="5"/>
  <c r="H31" i="5"/>
  <c r="M30" i="5"/>
  <c r="E30" i="5"/>
  <c r="M29" i="5"/>
  <c r="E29" i="5"/>
  <c r="M28" i="5"/>
  <c r="H28" i="5"/>
  <c r="M27" i="5"/>
  <c r="E27" i="5"/>
  <c r="M26" i="5"/>
  <c r="H26" i="5"/>
  <c r="M25" i="5"/>
  <c r="H25" i="5"/>
  <c r="M24" i="5"/>
  <c r="H24" i="5"/>
  <c r="M23" i="5"/>
  <c r="H23" i="5"/>
  <c r="M22" i="5"/>
  <c r="H22" i="5"/>
  <c r="M21" i="5"/>
  <c r="H21" i="5"/>
  <c r="M20" i="5"/>
  <c r="H20" i="5"/>
  <c r="E20" i="5"/>
  <c r="M19" i="5"/>
  <c r="E19" i="5"/>
  <c r="M18" i="5"/>
  <c r="M17" i="5"/>
  <c r="H17" i="5"/>
  <c r="E17" i="5"/>
  <c r="M16" i="5"/>
  <c r="E16" i="5"/>
  <c r="M15" i="5"/>
  <c r="H15" i="5"/>
  <c r="M14" i="5"/>
  <c r="E14" i="5"/>
  <c r="M13" i="5"/>
  <c r="H13" i="5"/>
  <c r="M12" i="5"/>
  <c r="H12" i="5"/>
  <c r="E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Q47" i="29" l="1"/>
  <c r="S47" i="29"/>
  <c r="H14" i="5"/>
  <c r="H33" i="5"/>
  <c r="T42" i="5"/>
  <c r="O44" i="5" a="1"/>
  <c r="O44" i="5" s="1"/>
  <c r="E29" i="6"/>
  <c r="T41" i="6"/>
  <c r="Q43" i="6"/>
  <c r="S48" i="6"/>
  <c r="H12" i="7"/>
  <c r="H25" i="7"/>
  <c r="H31" i="7"/>
  <c r="H38" i="7"/>
  <c r="R45" i="7"/>
  <c r="E32" i="8"/>
  <c r="O44" i="8" a="1"/>
  <c r="O44" i="8" s="1"/>
  <c r="O44" i="9" a="1"/>
  <c r="O44" i="9" s="1"/>
  <c r="H33" i="15"/>
  <c r="E24" i="15"/>
  <c r="H27" i="15"/>
  <c r="H13" i="15"/>
  <c r="E36" i="15"/>
  <c r="E17" i="15"/>
  <c r="H25" i="23"/>
  <c r="H21" i="23"/>
  <c r="E30" i="23"/>
  <c r="E38" i="23"/>
  <c r="H32" i="23"/>
  <c r="H37" i="27"/>
  <c r="E15" i="27"/>
  <c r="H19" i="27"/>
  <c r="E33" i="27"/>
  <c r="H11" i="27"/>
  <c r="T45" i="29"/>
  <c r="O45" i="29" a="1"/>
  <c r="O45" i="29" s="1"/>
  <c r="T41" i="19"/>
  <c r="O41" i="19" a="1"/>
  <c r="O41" i="19" s="1"/>
  <c r="E24" i="5"/>
  <c r="Q42" i="5"/>
  <c r="R47" i="5"/>
  <c r="Q41" i="6"/>
  <c r="O42" i="6" a="1"/>
  <c r="O42" i="6" s="1"/>
  <c r="T46" i="6"/>
  <c r="O48" i="7" a="1"/>
  <c r="O48" i="7" s="1"/>
  <c r="E17" i="8"/>
  <c r="T42" i="8"/>
  <c r="T42" i="9"/>
  <c r="S46" i="9"/>
  <c r="R47" i="9"/>
  <c r="E31" i="12"/>
  <c r="H26" i="12"/>
  <c r="H22" i="12"/>
  <c r="H28" i="12"/>
  <c r="E18" i="12"/>
  <c r="H14" i="12"/>
  <c r="H29" i="14"/>
  <c r="E11" i="14"/>
  <c r="E23" i="14"/>
  <c r="H36" i="14"/>
  <c r="H18" i="14"/>
  <c r="O41" i="23" a="1"/>
  <c r="O41" i="23" s="1"/>
  <c r="X41" i="23" s="1"/>
  <c r="H37" i="23"/>
  <c r="E25" i="23"/>
  <c r="H19" i="23"/>
  <c r="H11" i="23"/>
  <c r="E15" i="23"/>
  <c r="S47" i="26"/>
  <c r="E38" i="27"/>
  <c r="E30" i="27"/>
  <c r="H17" i="27"/>
  <c r="H32" i="27"/>
  <c r="H21" i="27"/>
  <c r="H25" i="27"/>
  <c r="E15" i="5"/>
  <c r="E18" i="5"/>
  <c r="H27" i="5"/>
  <c r="E31" i="5"/>
  <c r="T45" i="5"/>
  <c r="Q47" i="5"/>
  <c r="E15" i="6"/>
  <c r="E19" i="6"/>
  <c r="H24" i="6"/>
  <c r="S43" i="6"/>
  <c r="R43" i="7"/>
  <c r="T46" i="7"/>
  <c r="H27" i="8"/>
  <c r="Q42" i="8"/>
  <c r="T45" i="8"/>
  <c r="R47" i="8"/>
  <c r="Q42" i="9"/>
  <c r="T45" i="9"/>
  <c r="O45" i="13" a="1"/>
  <c r="O45" i="13" s="1"/>
  <c r="T41" i="15"/>
  <c r="O41" i="15" a="1"/>
  <c r="O41" i="15" s="1"/>
  <c r="S43" i="18"/>
  <c r="H33" i="18"/>
  <c r="E24" i="18"/>
  <c r="H13" i="18"/>
  <c r="H27" i="18"/>
  <c r="E17" i="18"/>
  <c r="H24" i="21"/>
  <c r="E29" i="21"/>
  <c r="E19" i="21"/>
  <c r="H38" i="21"/>
  <c r="H12" i="21"/>
  <c r="E16" i="21"/>
  <c r="H32" i="28"/>
  <c r="H21" i="28"/>
  <c r="H25" i="28"/>
  <c r="E30" i="28"/>
  <c r="E38" i="28"/>
  <c r="T41" i="25"/>
  <c r="O41" i="25" a="1"/>
  <c r="O41" i="25" s="1"/>
  <c r="S42" i="5"/>
  <c r="R43" i="5"/>
  <c r="O44" i="6" a="1"/>
  <c r="O44" i="6" s="1"/>
  <c r="T41" i="7"/>
  <c r="R48" i="7"/>
  <c r="H13" i="8"/>
  <c r="H33" i="8"/>
  <c r="S45" i="8"/>
  <c r="H27" i="9"/>
  <c r="S45" i="9"/>
  <c r="O46" i="9" a="1"/>
  <c r="O46" i="9" s="1"/>
  <c r="E11" i="12"/>
  <c r="E23" i="12"/>
  <c r="H36" i="12"/>
  <c r="S43" i="13"/>
  <c r="O46" i="22" a="1"/>
  <c r="O46" i="22" s="1"/>
  <c r="H17" i="22"/>
  <c r="H32" i="22"/>
  <c r="H21" i="22"/>
  <c r="H25" i="22"/>
  <c r="E30" i="22"/>
  <c r="H37" i="28"/>
  <c r="E25" i="28"/>
  <c r="H19" i="28"/>
  <c r="H11" i="28"/>
  <c r="E15" i="28"/>
  <c r="E33" i="28"/>
  <c r="H20" i="30"/>
  <c r="E37" i="30"/>
  <c r="E25" i="5"/>
  <c r="T41" i="5"/>
  <c r="Q43" i="5"/>
  <c r="T47" i="5"/>
  <c r="T42" i="6"/>
  <c r="S46" i="6"/>
  <c r="R47" i="6"/>
  <c r="O42" i="7" a="1"/>
  <c r="O42" i="7" s="1"/>
  <c r="T48" i="7"/>
  <c r="S42" i="8"/>
  <c r="S47" i="8"/>
  <c r="O48" i="8" a="1"/>
  <c r="O48" i="8" s="1"/>
  <c r="X48" i="8" s="1"/>
  <c r="S42" i="9"/>
  <c r="S47" i="9"/>
  <c r="O48" i="9" a="1"/>
  <c r="O48" i="9" s="1"/>
  <c r="X48" i="9" s="1"/>
  <c r="O41" i="10" a="1"/>
  <c r="O41" i="10" s="1"/>
  <c r="T45" i="20"/>
  <c r="O45" i="20" a="1"/>
  <c r="O45" i="20" s="1"/>
  <c r="H15" i="26"/>
  <c r="E27" i="26"/>
  <c r="H23" i="26"/>
  <c r="E32" i="26"/>
  <c r="E12" i="26"/>
  <c r="O48" i="5" a="1"/>
  <c r="O48" i="5" s="1"/>
  <c r="Q42" i="6"/>
  <c r="T45" i="6"/>
  <c r="Q47" i="6"/>
  <c r="R44" i="7"/>
  <c r="T41" i="8"/>
  <c r="R43" i="8"/>
  <c r="T48" i="8"/>
  <c r="T41" i="9"/>
  <c r="R43" i="9"/>
  <c r="H31" i="11"/>
  <c r="E19" i="11"/>
  <c r="H12" i="11"/>
  <c r="H24" i="11"/>
  <c r="H38" i="11"/>
  <c r="E29" i="11"/>
  <c r="O45" i="17" a="1"/>
  <c r="O45" i="17" s="1"/>
  <c r="E36" i="19"/>
  <c r="H33" i="19"/>
  <c r="H13" i="19"/>
  <c r="E24" i="25"/>
  <c r="H33" i="25"/>
  <c r="H27" i="25"/>
  <c r="H13" i="25"/>
  <c r="E17" i="25"/>
  <c r="E25" i="27"/>
  <c r="H17" i="28"/>
  <c r="O45" i="28" a="1"/>
  <c r="O45" i="28" s="1"/>
  <c r="E23" i="5"/>
  <c r="T43" i="5"/>
  <c r="T46" i="5"/>
  <c r="Q48" i="5"/>
  <c r="Q45" i="6"/>
  <c r="O46" i="6" a="1"/>
  <c r="O46" i="6" s="1"/>
  <c r="T42" i="7"/>
  <c r="R47" i="7"/>
  <c r="H15" i="8"/>
  <c r="S41" i="8"/>
  <c r="T46" i="8"/>
  <c r="H13" i="9"/>
  <c r="S41" i="9"/>
  <c r="O42" i="9" a="1"/>
  <c r="O42" i="9" s="1"/>
  <c r="T46" i="9"/>
  <c r="E21" i="14"/>
  <c r="O45" i="15" a="1"/>
  <c r="O45" i="15" s="1"/>
  <c r="O45" i="16" a="1"/>
  <c r="O45" i="16" s="1"/>
  <c r="O48" i="16" a="1"/>
  <c r="O48" i="16" s="1"/>
  <c r="X48" i="16" s="1"/>
  <c r="S48" i="16"/>
  <c r="S47" i="18"/>
  <c r="O45" i="21" a="1"/>
  <c r="O45" i="21" s="1"/>
  <c r="T44" i="10"/>
  <c r="S43" i="11"/>
  <c r="Q43" i="12"/>
  <c r="O47" i="12" a="1"/>
  <c r="O47" i="12" s="1"/>
  <c r="T43" i="13"/>
  <c r="O48" i="13" a="1"/>
  <c r="O48" i="13" s="1"/>
  <c r="Q43" i="14"/>
  <c r="O48" i="14" a="1"/>
  <c r="O48" i="14" s="1"/>
  <c r="T46" i="15"/>
  <c r="Q48" i="15"/>
  <c r="H23" i="16"/>
  <c r="E29" i="16"/>
  <c r="T41" i="16"/>
  <c r="Q43" i="16"/>
  <c r="Q48" i="16"/>
  <c r="E12" i="17"/>
  <c r="E20" i="17"/>
  <c r="T41" i="17"/>
  <c r="Q43" i="17"/>
  <c r="O48" i="17" a="1"/>
  <c r="O48" i="17" s="1"/>
  <c r="X48" i="17" s="1"/>
  <c r="O43" i="18" a="1"/>
  <c r="O43" i="18" s="1"/>
  <c r="T46" i="18"/>
  <c r="R48" i="18"/>
  <c r="S41" i="19"/>
  <c r="O42" i="19" a="1"/>
  <c r="O42" i="19" s="1"/>
  <c r="T46" i="19"/>
  <c r="S45" i="20"/>
  <c r="O46" i="20" a="1"/>
  <c r="O46" i="20" s="1"/>
  <c r="E20" i="21"/>
  <c r="E25" i="21"/>
  <c r="S43" i="21"/>
  <c r="T44" i="21"/>
  <c r="S46" i="21"/>
  <c r="E19" i="22"/>
  <c r="H38" i="22"/>
  <c r="T42" i="23"/>
  <c r="R47" i="23"/>
  <c r="S45" i="24"/>
  <c r="S41" i="25"/>
  <c r="O42" i="25" a="1"/>
  <c r="O42" i="25" s="1"/>
  <c r="T46" i="25"/>
  <c r="S48" i="25"/>
  <c r="T47" i="26"/>
  <c r="T42" i="27"/>
  <c r="R47" i="27"/>
  <c r="T42" i="28"/>
  <c r="R47" i="28"/>
  <c r="S45" i="29"/>
  <c r="S44" i="30"/>
  <c r="T45" i="30"/>
  <c r="Q47" i="30"/>
  <c r="T42" i="10"/>
  <c r="O47" i="10" a="1"/>
  <c r="O47" i="10" s="1"/>
  <c r="O44" i="11" a="1"/>
  <c r="O44" i="11" s="1"/>
  <c r="R48" i="12"/>
  <c r="H24" i="13"/>
  <c r="Q46" i="13"/>
  <c r="Q41" i="14"/>
  <c r="Q46" i="14"/>
  <c r="S43" i="15"/>
  <c r="S41" i="16"/>
  <c r="O42" i="16" a="1"/>
  <c r="O42" i="16" s="1"/>
  <c r="T46" i="16"/>
  <c r="S41" i="17"/>
  <c r="T46" i="17"/>
  <c r="Q48" i="17"/>
  <c r="S46" i="18"/>
  <c r="S43" i="19"/>
  <c r="S42" i="20"/>
  <c r="R43" i="20"/>
  <c r="S47" i="20"/>
  <c r="O48" i="20" a="1"/>
  <c r="O48" i="20" s="1"/>
  <c r="X48" i="20" s="1"/>
  <c r="O44" i="21" a="1"/>
  <c r="O44" i="21" s="1"/>
  <c r="T45" i="22"/>
  <c r="R47" i="22"/>
  <c r="T45" i="23"/>
  <c r="Q47" i="23"/>
  <c r="R43" i="24"/>
  <c r="O48" i="24" a="1"/>
  <c r="O48" i="24" s="1"/>
  <c r="X48" i="24" s="1"/>
  <c r="S43" i="25"/>
  <c r="T41" i="26"/>
  <c r="T42" i="26"/>
  <c r="O48" i="26" a="1"/>
  <c r="O48" i="26" s="1"/>
  <c r="X48" i="26" s="1"/>
  <c r="T45" i="27"/>
  <c r="T45" i="28"/>
  <c r="R43" i="29"/>
  <c r="Q45" i="30"/>
  <c r="R45" i="10"/>
  <c r="R47" i="10"/>
  <c r="T42" i="11"/>
  <c r="S46" i="11"/>
  <c r="R47" i="11"/>
  <c r="O43" i="12" a="1"/>
  <c r="O43" i="12" s="1"/>
  <c r="T44" i="12"/>
  <c r="T46" i="12"/>
  <c r="T42" i="13"/>
  <c r="O44" i="13" a="1"/>
  <c r="O44" i="13" s="1"/>
  <c r="S48" i="14"/>
  <c r="R44" i="15"/>
  <c r="E19" i="16"/>
  <c r="H24" i="16"/>
  <c r="S43" i="16"/>
  <c r="Q46" i="16"/>
  <c r="S43" i="17"/>
  <c r="S46" i="17"/>
  <c r="T42" i="18"/>
  <c r="Q44" i="18"/>
  <c r="O44" i="19" a="1"/>
  <c r="O44" i="19" s="1"/>
  <c r="T41" i="20"/>
  <c r="Q43" i="20"/>
  <c r="S48" i="20"/>
  <c r="E17" i="21"/>
  <c r="H21" i="21"/>
  <c r="H32" i="21"/>
  <c r="T42" i="21"/>
  <c r="R47" i="21"/>
  <c r="H15" i="22"/>
  <c r="E20" i="22"/>
  <c r="S45" i="22"/>
  <c r="Q45" i="23"/>
  <c r="E11" i="24"/>
  <c r="H36" i="24"/>
  <c r="T41" i="24"/>
  <c r="Q43" i="24"/>
  <c r="T46" i="24"/>
  <c r="T47" i="24"/>
  <c r="T48" i="24"/>
  <c r="O44" i="25" a="1"/>
  <c r="O44" i="25" s="1"/>
  <c r="R43" i="26"/>
  <c r="T46" i="26"/>
  <c r="T48" i="26"/>
  <c r="T41" i="29"/>
  <c r="Q43" i="29"/>
  <c r="O48" i="29" a="1"/>
  <c r="O48" i="29" s="1"/>
  <c r="X48" i="29" s="1"/>
  <c r="R43" i="30"/>
  <c r="S47" i="30"/>
  <c r="O48" i="30" a="1"/>
  <c r="O48" i="30" s="1"/>
  <c r="X48" i="30" s="1"/>
  <c r="Q46" i="9"/>
  <c r="H17" i="10"/>
  <c r="E33" i="10"/>
  <c r="O46" i="10" a="1"/>
  <c r="O46" i="10" s="1"/>
  <c r="Q42" i="11"/>
  <c r="T45" i="11"/>
  <c r="Q47" i="11"/>
  <c r="S41" i="12"/>
  <c r="O44" i="12" a="1"/>
  <c r="O44" i="12" s="1"/>
  <c r="Q46" i="12"/>
  <c r="E29" i="13"/>
  <c r="H38" i="13"/>
  <c r="Q42" i="13"/>
  <c r="S46" i="13"/>
  <c r="R47" i="13"/>
  <c r="T42" i="14"/>
  <c r="T44" i="14"/>
  <c r="S46" i="14"/>
  <c r="T42" i="15"/>
  <c r="S46" i="15"/>
  <c r="O44" i="16" a="1"/>
  <c r="O44" i="16" s="1"/>
  <c r="E32" i="17"/>
  <c r="Q44" i="17"/>
  <c r="E33" i="18"/>
  <c r="S42" i="18"/>
  <c r="R47" i="18"/>
  <c r="T42" i="19"/>
  <c r="S46" i="19"/>
  <c r="R47" i="19"/>
  <c r="S41" i="20"/>
  <c r="O42" i="20" a="1"/>
  <c r="O42" i="20" s="1"/>
  <c r="T46" i="20"/>
  <c r="H27" i="21"/>
  <c r="S42" i="21"/>
  <c r="T45" i="21"/>
  <c r="Q47" i="21"/>
  <c r="T41" i="22"/>
  <c r="R43" i="22"/>
  <c r="O48" i="22" a="1"/>
  <c r="O48" i="22" s="1"/>
  <c r="X48" i="22" s="1"/>
  <c r="S42" i="23"/>
  <c r="R43" i="23"/>
  <c r="S47" i="23"/>
  <c r="O48" i="23" a="1"/>
  <c r="O48" i="23" s="1"/>
  <c r="X48" i="23" s="1"/>
  <c r="S41" i="24"/>
  <c r="Q46" i="24"/>
  <c r="R48" i="24"/>
  <c r="T42" i="25"/>
  <c r="S46" i="25"/>
  <c r="R47" i="25"/>
  <c r="S43" i="26"/>
  <c r="O44" i="26" a="1"/>
  <c r="O44" i="26" s="1"/>
  <c r="O48" i="27" a="1"/>
  <c r="O48" i="27" s="1"/>
  <c r="X48" i="27" s="1"/>
  <c r="R43" i="28"/>
  <c r="T47" i="28"/>
  <c r="S41" i="29"/>
  <c r="T46" i="29"/>
  <c r="T48" i="29"/>
  <c r="H36" i="30"/>
  <c r="T41" i="30"/>
  <c r="Q43" i="30"/>
  <c r="T46" i="30"/>
  <c r="T48" i="30"/>
  <c r="T47" i="10"/>
  <c r="S45" i="11"/>
  <c r="T42" i="12"/>
  <c r="T45" i="13"/>
  <c r="Q47" i="13"/>
  <c r="E20" i="14"/>
  <c r="Q42" i="14"/>
  <c r="R47" i="14"/>
  <c r="Q42" i="15"/>
  <c r="T45" i="15"/>
  <c r="R47" i="15"/>
  <c r="H15" i="16"/>
  <c r="E20" i="16"/>
  <c r="E32" i="16"/>
  <c r="T42" i="16"/>
  <c r="S46" i="16"/>
  <c r="R47" i="16"/>
  <c r="H23" i="17"/>
  <c r="T42" i="17"/>
  <c r="R47" i="17"/>
  <c r="T45" i="18"/>
  <c r="Q47" i="18"/>
  <c r="Q42" i="19"/>
  <c r="T45" i="19"/>
  <c r="Q47" i="19"/>
  <c r="S43" i="20"/>
  <c r="Q46" i="20"/>
  <c r="H13" i="21"/>
  <c r="H33" i="21"/>
  <c r="S45" i="21"/>
  <c r="E32" i="22"/>
  <c r="S41" i="22"/>
  <c r="T46" i="22"/>
  <c r="T48" i="22"/>
  <c r="T41" i="23"/>
  <c r="Q43" i="23"/>
  <c r="T48" i="23"/>
  <c r="S48" i="24"/>
  <c r="Q42" i="25"/>
  <c r="T45" i="25"/>
  <c r="Q47" i="25"/>
  <c r="H27" i="26"/>
  <c r="R44" i="26"/>
  <c r="T41" i="27"/>
  <c r="R43" i="27"/>
  <c r="Q48" i="27"/>
  <c r="T41" i="28"/>
  <c r="Q43" i="28"/>
  <c r="O48" i="28" a="1"/>
  <c r="O48" i="28" s="1"/>
  <c r="X48" i="28" s="1"/>
  <c r="S43" i="29"/>
  <c r="Q46" i="29"/>
  <c r="Q41" i="30"/>
  <c r="E15" i="10"/>
  <c r="R41" i="10"/>
  <c r="R43" i="10"/>
  <c r="O48" i="10" a="1"/>
  <c r="O48" i="10" s="1"/>
  <c r="X48" i="10" s="1"/>
  <c r="S42" i="11"/>
  <c r="R43" i="11"/>
  <c r="S42" i="12"/>
  <c r="T45" i="12"/>
  <c r="S45" i="12"/>
  <c r="R47" i="12"/>
  <c r="S42" i="13"/>
  <c r="R43" i="13"/>
  <c r="Q45" i="13"/>
  <c r="O46" i="13" a="1"/>
  <c r="O46" i="13" s="1"/>
  <c r="H23" i="14"/>
  <c r="H38" i="14"/>
  <c r="O44" i="14" a="1"/>
  <c r="O44" i="14" s="1"/>
  <c r="T45" i="14"/>
  <c r="Q47" i="14"/>
  <c r="H38" i="16"/>
  <c r="Q42" i="16"/>
  <c r="T45" i="16"/>
  <c r="Q47" i="16"/>
  <c r="S42" i="17"/>
  <c r="T45" i="17"/>
  <c r="Q47" i="17"/>
  <c r="E15" i="18"/>
  <c r="H19" i="18"/>
  <c r="R43" i="18"/>
  <c r="S45" i="19"/>
  <c r="O46" i="19" a="1"/>
  <c r="O46" i="19" s="1"/>
  <c r="O44" i="20" a="1"/>
  <c r="O44" i="20" s="1"/>
  <c r="R43" i="21"/>
  <c r="S47" i="21"/>
  <c r="O48" i="21" a="1"/>
  <c r="O48" i="21" s="1"/>
  <c r="X48" i="21" s="1"/>
  <c r="E12" i="22"/>
  <c r="S46" i="22"/>
  <c r="Q41" i="23"/>
  <c r="T46" i="23"/>
  <c r="T42" i="24"/>
  <c r="O44" i="24" a="1"/>
  <c r="O44" i="24" s="1"/>
  <c r="X44" i="24" s="1"/>
  <c r="Q45" i="25"/>
  <c r="S42" i="26"/>
  <c r="R47" i="26"/>
  <c r="T46" i="27"/>
  <c r="T46" i="28"/>
  <c r="T48" i="28"/>
  <c r="O44" i="29" a="1"/>
  <c r="O44" i="29" s="1"/>
  <c r="S43" i="30"/>
  <c r="S48" i="30"/>
  <c r="Q47" i="9"/>
  <c r="H11" i="10"/>
  <c r="O42" i="10" a="1"/>
  <c r="O42" i="10" s="1"/>
  <c r="T46" i="10"/>
  <c r="R48" i="10"/>
  <c r="T41" i="11"/>
  <c r="Q43" i="11"/>
  <c r="O48" i="11" a="1"/>
  <c r="O48" i="11" s="1"/>
  <c r="Q47" i="12"/>
  <c r="T41" i="13"/>
  <c r="Q43" i="13"/>
  <c r="T47" i="13"/>
  <c r="S42" i="14"/>
  <c r="S45" i="14"/>
  <c r="S42" i="15"/>
  <c r="R43" i="15"/>
  <c r="T47" i="15"/>
  <c r="Q45" i="16"/>
  <c r="O46" i="16" a="1"/>
  <c r="O46" i="16" s="1"/>
  <c r="S45" i="17"/>
  <c r="T41" i="18"/>
  <c r="Q43" i="18"/>
  <c r="T47" i="18"/>
  <c r="S42" i="19"/>
  <c r="R43" i="19"/>
  <c r="S47" i="19"/>
  <c r="O48" i="19" a="1"/>
  <c r="O48" i="19" s="1"/>
  <c r="X48" i="19" s="1"/>
  <c r="T42" i="20"/>
  <c r="S46" i="20"/>
  <c r="R47" i="20"/>
  <c r="T41" i="21"/>
  <c r="Q43" i="21"/>
  <c r="S48" i="21"/>
  <c r="T42" i="22"/>
  <c r="O44" i="22" a="1"/>
  <c r="O44" i="22" s="1"/>
  <c r="S48" i="22"/>
  <c r="S43" i="23"/>
  <c r="S42" i="24"/>
  <c r="O43" i="24" a="1"/>
  <c r="O43" i="24" s="1"/>
  <c r="X43" i="24" s="1"/>
  <c r="R47" i="24"/>
  <c r="S42" i="25"/>
  <c r="R43" i="25"/>
  <c r="T45" i="26"/>
  <c r="Q47" i="26"/>
  <c r="S43" i="27"/>
  <c r="S46" i="27"/>
  <c r="S43" i="28"/>
  <c r="T42" i="29"/>
  <c r="R47" i="29"/>
  <c r="T42" i="30"/>
  <c r="O44" i="30" a="1"/>
  <c r="O44" i="30" s="1"/>
  <c r="H13" i="30"/>
  <c r="E17" i="30"/>
  <c r="O41" i="30" a="1"/>
  <c r="O41" i="30" s="1"/>
  <c r="Q44" i="30"/>
  <c r="O45" i="30" a="1"/>
  <c r="O45" i="30" s="1"/>
  <c r="Q48" i="30"/>
  <c r="E11" i="30"/>
  <c r="E21" i="30"/>
  <c r="H29" i="30"/>
  <c r="E33" i="30"/>
  <c r="T43" i="30"/>
  <c r="R44" i="30"/>
  <c r="T47" i="30"/>
  <c r="R48" i="30"/>
  <c r="T44" i="30"/>
  <c r="H19" i="30"/>
  <c r="E23" i="30"/>
  <c r="H30" i="30"/>
  <c r="S41" i="30"/>
  <c r="Q42" i="30"/>
  <c r="O43" i="30" a="1"/>
  <c r="O43" i="30" s="1"/>
  <c r="S45" i="30"/>
  <c r="Q46" i="30"/>
  <c r="O47" i="30" a="1"/>
  <c r="O47" i="30" s="1"/>
  <c r="R41" i="30"/>
  <c r="H12" i="30"/>
  <c r="H23" i="30"/>
  <c r="H34" i="30"/>
  <c r="R42" i="30"/>
  <c r="R46" i="30"/>
  <c r="R45" i="30"/>
  <c r="H16" i="30"/>
  <c r="H27" i="30"/>
  <c r="S42" i="30"/>
  <c r="S46" i="30"/>
  <c r="E13" i="30"/>
  <c r="E24" i="30"/>
  <c r="E11" i="29"/>
  <c r="E21" i="29"/>
  <c r="H29" i="29"/>
  <c r="E33" i="29"/>
  <c r="T43" i="29"/>
  <c r="R44" i="29"/>
  <c r="T47" i="29"/>
  <c r="R48" i="29"/>
  <c r="Q48" i="29"/>
  <c r="E37" i="29"/>
  <c r="Q41" i="29"/>
  <c r="O42" i="29" a="1"/>
  <c r="O42" i="29" s="1"/>
  <c r="S44" i="29"/>
  <c r="Q45" i="29"/>
  <c r="O46" i="29" a="1"/>
  <c r="O46" i="29" s="1"/>
  <c r="S48" i="29"/>
  <c r="R41" i="29"/>
  <c r="T44" i="29"/>
  <c r="R45" i="29"/>
  <c r="Q44" i="29"/>
  <c r="E23" i="29"/>
  <c r="H30" i="29"/>
  <c r="E34" i="29"/>
  <c r="Q42" i="29"/>
  <c r="O43" i="29" a="1"/>
  <c r="O43" i="29" s="1"/>
  <c r="O47" i="29" a="1"/>
  <c r="O47" i="29" s="1"/>
  <c r="H23" i="29"/>
  <c r="E27" i="29"/>
  <c r="H34" i="29"/>
  <c r="R42" i="29"/>
  <c r="R46" i="29"/>
  <c r="H16" i="29"/>
  <c r="S46" i="29"/>
  <c r="E13" i="29"/>
  <c r="Q48" i="28"/>
  <c r="E11" i="28"/>
  <c r="E21" i="28"/>
  <c r="T43" i="28"/>
  <c r="R44" i="28"/>
  <c r="R48" i="28"/>
  <c r="E37" i="28"/>
  <c r="Q41" i="28"/>
  <c r="O42" i="28" a="1"/>
  <c r="O42" i="28" s="1"/>
  <c r="S44" i="28"/>
  <c r="Q45" i="28"/>
  <c r="O46" i="28" a="1"/>
  <c r="O46" i="28" s="1"/>
  <c r="S48" i="28"/>
  <c r="R41" i="28"/>
  <c r="T44" i="28"/>
  <c r="R45" i="28"/>
  <c r="E23" i="28"/>
  <c r="H30" i="28"/>
  <c r="E34" i="28"/>
  <c r="S41" i="28"/>
  <c r="Q42" i="28"/>
  <c r="O43" i="28" a="1"/>
  <c r="O43" i="28" s="1"/>
  <c r="S45" i="28"/>
  <c r="Q46" i="28"/>
  <c r="O47" i="28" a="1"/>
  <c r="O47" i="28" s="1"/>
  <c r="H29" i="28"/>
  <c r="H23" i="28"/>
  <c r="H34" i="28"/>
  <c r="R42" i="28"/>
  <c r="R46" i="28"/>
  <c r="H16" i="28"/>
  <c r="S42" i="28"/>
  <c r="O44" i="28" a="1"/>
  <c r="O44" i="28" s="1"/>
  <c r="S46" i="28"/>
  <c r="E13" i="28"/>
  <c r="T43" i="27"/>
  <c r="R48" i="27"/>
  <c r="E37" i="27"/>
  <c r="Q41" i="27"/>
  <c r="O42" i="27" a="1"/>
  <c r="O42" i="27" s="1"/>
  <c r="S44" i="27"/>
  <c r="Q45" i="27"/>
  <c r="O46" i="27" a="1"/>
  <c r="O46" i="27" s="1"/>
  <c r="S48" i="27"/>
  <c r="S47" i="27"/>
  <c r="H29" i="27"/>
  <c r="R44" i="27"/>
  <c r="H15" i="27"/>
  <c r="R41" i="27"/>
  <c r="T44" i="27"/>
  <c r="R45" i="27"/>
  <c r="T48" i="27"/>
  <c r="H36" i="27"/>
  <c r="E23" i="27"/>
  <c r="H30" i="27"/>
  <c r="E34" i="27"/>
  <c r="S41" i="27"/>
  <c r="Q42" i="27"/>
  <c r="O43" i="27" a="1"/>
  <c r="O43" i="27" s="1"/>
  <c r="S45" i="27"/>
  <c r="Q46" i="27"/>
  <c r="O47" i="27" a="1"/>
  <c r="O47" i="27" s="1"/>
  <c r="H12" i="27"/>
  <c r="H23" i="27"/>
  <c r="H34" i="27"/>
  <c r="R42" i="27"/>
  <c r="R46" i="27"/>
  <c r="H16" i="27"/>
  <c r="Q43" i="27"/>
  <c r="O44" i="27" a="1"/>
  <c r="O44" i="27" s="1"/>
  <c r="E11" i="27"/>
  <c r="E13" i="27"/>
  <c r="R48" i="26"/>
  <c r="E37" i="26"/>
  <c r="Q41" i="26"/>
  <c r="O42" i="26" a="1"/>
  <c r="O42" i="26" s="1"/>
  <c r="S44" i="26"/>
  <c r="Q45" i="26"/>
  <c r="O46" i="26" a="1"/>
  <c r="O46" i="26" s="1"/>
  <c r="S48" i="26"/>
  <c r="H36" i="26"/>
  <c r="Q44" i="26"/>
  <c r="Q48" i="26"/>
  <c r="T43" i="26"/>
  <c r="R41" i="26"/>
  <c r="T44" i="26"/>
  <c r="R45" i="26"/>
  <c r="H29" i="26"/>
  <c r="E23" i="26"/>
  <c r="H30" i="26"/>
  <c r="E34" i="26"/>
  <c r="S41" i="26"/>
  <c r="Q42" i="26"/>
  <c r="O43" i="26" a="1"/>
  <c r="O43" i="26" s="1"/>
  <c r="S45" i="26"/>
  <c r="Q46" i="26"/>
  <c r="O47" i="26" a="1"/>
  <c r="O47" i="26" s="1"/>
  <c r="H34" i="26"/>
  <c r="R42" i="26"/>
  <c r="R46" i="26"/>
  <c r="E21" i="26"/>
  <c r="H16" i="26"/>
  <c r="S46" i="26"/>
  <c r="E13" i="26"/>
  <c r="Q48" i="25"/>
  <c r="E11" i="25"/>
  <c r="E21" i="25"/>
  <c r="H29" i="25"/>
  <c r="E33" i="25"/>
  <c r="T43" i="25"/>
  <c r="R44" i="25"/>
  <c r="T47" i="25"/>
  <c r="R48" i="25"/>
  <c r="E37" i="25"/>
  <c r="Q41" i="25"/>
  <c r="S44" i="25"/>
  <c r="O46" i="25" a="1"/>
  <c r="O46" i="25" s="1"/>
  <c r="H37" i="25"/>
  <c r="R41" i="25"/>
  <c r="T44" i="25"/>
  <c r="R45" i="25"/>
  <c r="T48" i="25"/>
  <c r="E23" i="25"/>
  <c r="H30" i="25"/>
  <c r="O43" i="25" a="1"/>
  <c r="O43" i="25" s="1"/>
  <c r="S45" i="25"/>
  <c r="O47" i="25" a="1"/>
  <c r="O47" i="25" s="1"/>
  <c r="X47" i="25" s="1"/>
  <c r="H34" i="25"/>
  <c r="R42" i="25"/>
  <c r="R46" i="25"/>
  <c r="Q44" i="25"/>
  <c r="H16" i="25"/>
  <c r="E13" i="25"/>
  <c r="H33" i="24"/>
  <c r="Q41" i="24"/>
  <c r="Q45" i="24"/>
  <c r="H13" i="24"/>
  <c r="E17" i="24"/>
  <c r="O41" i="24" a="1"/>
  <c r="O41" i="24" s="1"/>
  <c r="X41" i="24" s="1"/>
  <c r="S43" i="24"/>
  <c r="Q44" i="24"/>
  <c r="O45" i="24" a="1"/>
  <c r="O45" i="24" s="1"/>
  <c r="X45" i="24" s="1"/>
  <c r="S47" i="24"/>
  <c r="Q48" i="24"/>
  <c r="E21" i="24"/>
  <c r="E33" i="24"/>
  <c r="T43" i="24"/>
  <c r="R44" i="24"/>
  <c r="H15" i="24"/>
  <c r="H37" i="24"/>
  <c r="R41" i="24"/>
  <c r="T44" i="24"/>
  <c r="R45" i="24"/>
  <c r="Q42" i="24"/>
  <c r="O47" i="24" a="1"/>
  <c r="O47" i="24" s="1"/>
  <c r="X47" i="24" s="1"/>
  <c r="H23" i="24"/>
  <c r="E27" i="24"/>
  <c r="R42" i="24"/>
  <c r="R46" i="24"/>
  <c r="E20" i="24"/>
  <c r="H27" i="24"/>
  <c r="S46" i="24"/>
  <c r="E24" i="24"/>
  <c r="Q48" i="23"/>
  <c r="E11" i="23"/>
  <c r="E21" i="23"/>
  <c r="H29" i="23"/>
  <c r="E33" i="23"/>
  <c r="T43" i="23"/>
  <c r="R44" i="23"/>
  <c r="T47" i="23"/>
  <c r="R48" i="23"/>
  <c r="E37" i="23"/>
  <c r="O42" i="23" a="1"/>
  <c r="O42" i="23" s="1"/>
  <c r="X42" i="23" s="1"/>
  <c r="S44" i="23"/>
  <c r="O46" i="23" a="1"/>
  <c r="O46" i="23" s="1"/>
  <c r="X46" i="23" s="1"/>
  <c r="S48" i="23"/>
  <c r="R41" i="23"/>
  <c r="T44" i="23"/>
  <c r="R45" i="23"/>
  <c r="H36" i="23"/>
  <c r="Q44" i="23"/>
  <c r="E23" i="23"/>
  <c r="H30" i="23"/>
  <c r="S41" i="23"/>
  <c r="Q42" i="23"/>
  <c r="O43" i="23" a="1"/>
  <c r="O43" i="23" s="1"/>
  <c r="X43" i="23" s="1"/>
  <c r="S45" i="23"/>
  <c r="Q46" i="23"/>
  <c r="O47" i="23" a="1"/>
  <c r="O47" i="23" s="1"/>
  <c r="X47" i="23" s="1"/>
  <c r="H34" i="23"/>
  <c r="R42" i="23"/>
  <c r="R46" i="23"/>
  <c r="H16" i="23"/>
  <c r="S46" i="23"/>
  <c r="E13" i="23"/>
  <c r="H13" i="22"/>
  <c r="E17" i="22"/>
  <c r="O41" i="22" a="1"/>
  <c r="O41" i="22" s="1"/>
  <c r="S43" i="22"/>
  <c r="Q44" i="22"/>
  <c r="O45" i="22" a="1"/>
  <c r="O45" i="22" s="1"/>
  <c r="S47" i="22"/>
  <c r="Q48" i="22"/>
  <c r="Q45" i="22"/>
  <c r="E11" i="22"/>
  <c r="E21" i="22"/>
  <c r="E33" i="22"/>
  <c r="T43" i="22"/>
  <c r="R44" i="22"/>
  <c r="T47" i="22"/>
  <c r="R48" i="22"/>
  <c r="Q41" i="22"/>
  <c r="H37" i="22"/>
  <c r="R41" i="22"/>
  <c r="T44" i="22"/>
  <c r="R45" i="22"/>
  <c r="Q42" i="22"/>
  <c r="O43" i="22" a="1"/>
  <c r="O43" i="22" s="1"/>
  <c r="Q46" i="22"/>
  <c r="O47" i="22" a="1"/>
  <c r="O47" i="22" s="1"/>
  <c r="H12" i="22"/>
  <c r="H23" i="22"/>
  <c r="R42" i="22"/>
  <c r="R46" i="22"/>
  <c r="H27" i="22"/>
  <c r="Q43" i="22"/>
  <c r="Q47" i="22"/>
  <c r="E24" i="22"/>
  <c r="Q48" i="21"/>
  <c r="E11" i="21"/>
  <c r="E21" i="21"/>
  <c r="H29" i="21"/>
  <c r="E33" i="21"/>
  <c r="T43" i="21"/>
  <c r="R44" i="21"/>
  <c r="T47" i="21"/>
  <c r="R48" i="21"/>
  <c r="Q44" i="21"/>
  <c r="E37" i="21"/>
  <c r="Q41" i="21"/>
  <c r="O42" i="21" a="1"/>
  <c r="O42" i="21" s="1"/>
  <c r="S44" i="21"/>
  <c r="Q45" i="21"/>
  <c r="O46" i="21" a="1"/>
  <c r="O46" i="21" s="1"/>
  <c r="H15" i="21"/>
  <c r="R41" i="21"/>
  <c r="R45" i="21"/>
  <c r="T48" i="21"/>
  <c r="E23" i="21"/>
  <c r="H30" i="21"/>
  <c r="E34" i="21"/>
  <c r="Q42" i="21"/>
  <c r="O43" i="21" a="1"/>
  <c r="O43" i="21" s="1"/>
  <c r="Q46" i="21"/>
  <c r="O47" i="21" a="1"/>
  <c r="O47" i="21" s="1"/>
  <c r="H23" i="21"/>
  <c r="H34" i="21"/>
  <c r="R42" i="21"/>
  <c r="R46" i="21"/>
  <c r="H16" i="21"/>
  <c r="E13" i="21"/>
  <c r="Q44" i="20"/>
  <c r="Q48" i="20"/>
  <c r="E11" i="20"/>
  <c r="E21" i="20"/>
  <c r="H29" i="20"/>
  <c r="E33" i="20"/>
  <c r="T43" i="20"/>
  <c r="R44" i="20"/>
  <c r="T47" i="20"/>
  <c r="R48" i="20"/>
  <c r="E37" i="20"/>
  <c r="Q41" i="20"/>
  <c r="S44" i="20"/>
  <c r="Q45" i="20"/>
  <c r="H37" i="20"/>
  <c r="R41" i="20"/>
  <c r="T44" i="20"/>
  <c r="R45" i="20"/>
  <c r="T48" i="20"/>
  <c r="E23" i="20"/>
  <c r="H30" i="20"/>
  <c r="E34" i="20"/>
  <c r="O43" i="20" a="1"/>
  <c r="O43" i="20" s="1"/>
  <c r="X41" i="20" s="1"/>
  <c r="O47" i="20" a="1"/>
  <c r="O47" i="20" s="1"/>
  <c r="X47" i="20" s="1"/>
  <c r="H34" i="20"/>
  <c r="R42" i="20"/>
  <c r="R46" i="20"/>
  <c r="H16" i="20"/>
  <c r="H27" i="20"/>
  <c r="E13" i="20"/>
  <c r="E24" i="20"/>
  <c r="Q48" i="19"/>
  <c r="E11" i="19"/>
  <c r="E21" i="19"/>
  <c r="H29" i="19"/>
  <c r="E33" i="19"/>
  <c r="T43" i="19"/>
  <c r="R44" i="19"/>
  <c r="T47" i="19"/>
  <c r="R48" i="19"/>
  <c r="H36" i="19"/>
  <c r="E37" i="19"/>
  <c r="Q41" i="19"/>
  <c r="S44" i="19"/>
  <c r="Q45" i="19"/>
  <c r="S48" i="19"/>
  <c r="H37" i="19"/>
  <c r="R41" i="19"/>
  <c r="T44" i="19"/>
  <c r="R45" i="19"/>
  <c r="Q44" i="19"/>
  <c r="E23" i="19"/>
  <c r="H30" i="19"/>
  <c r="O43" i="19" a="1"/>
  <c r="O43" i="19" s="1"/>
  <c r="Q46" i="19"/>
  <c r="O47" i="19" a="1"/>
  <c r="O47" i="19" s="1"/>
  <c r="H12" i="19"/>
  <c r="H23" i="19"/>
  <c r="H34" i="19"/>
  <c r="R42" i="19"/>
  <c r="R46" i="19"/>
  <c r="H16" i="19"/>
  <c r="H27" i="19"/>
  <c r="E13" i="19"/>
  <c r="E24" i="19"/>
  <c r="R44" i="18"/>
  <c r="E37" i="18"/>
  <c r="Q41" i="18"/>
  <c r="O42" i="18" a="1"/>
  <c r="O42" i="18" s="1"/>
  <c r="X42" i="18" s="1"/>
  <c r="S44" i="18"/>
  <c r="Q45" i="18"/>
  <c r="O46" i="18" a="1"/>
  <c r="O46" i="18" s="1"/>
  <c r="S48" i="18"/>
  <c r="Q48" i="18"/>
  <c r="H15" i="18"/>
  <c r="R41" i="18"/>
  <c r="T44" i="18"/>
  <c r="R45" i="18"/>
  <c r="T48" i="18"/>
  <c r="T43" i="18"/>
  <c r="E23" i="18"/>
  <c r="H30" i="18"/>
  <c r="E34" i="18"/>
  <c r="S41" i="18"/>
  <c r="Q42" i="18"/>
  <c r="S45" i="18"/>
  <c r="Q46" i="18"/>
  <c r="O47" i="18" a="1"/>
  <c r="O47" i="18" s="1"/>
  <c r="H29" i="18"/>
  <c r="H23" i="18"/>
  <c r="H34" i="18"/>
  <c r="R42" i="18"/>
  <c r="R46" i="18"/>
  <c r="E21" i="18"/>
  <c r="H16" i="18"/>
  <c r="O44" i="18" a="1"/>
  <c r="O44" i="18" s="1"/>
  <c r="H36" i="18"/>
  <c r="E13" i="18"/>
  <c r="E11" i="17"/>
  <c r="E21" i="17"/>
  <c r="H29" i="17"/>
  <c r="E33" i="17"/>
  <c r="T43" i="17"/>
  <c r="R44" i="17"/>
  <c r="T47" i="17"/>
  <c r="R48" i="17"/>
  <c r="E37" i="17"/>
  <c r="Q41" i="17"/>
  <c r="O42" i="17" a="1"/>
  <c r="O42" i="17" s="1"/>
  <c r="S44" i="17"/>
  <c r="Q45" i="17"/>
  <c r="O46" i="17" a="1"/>
  <c r="O46" i="17" s="1"/>
  <c r="S48" i="17"/>
  <c r="R41" i="17"/>
  <c r="T44" i="17"/>
  <c r="R45" i="17"/>
  <c r="T48" i="17"/>
  <c r="E23" i="17"/>
  <c r="H30" i="17"/>
  <c r="E34" i="17"/>
  <c r="Q42" i="17"/>
  <c r="O43" i="17" a="1"/>
  <c r="O43" i="17" s="1"/>
  <c r="Q46" i="17"/>
  <c r="O47" i="17" a="1"/>
  <c r="O47" i="17" s="1"/>
  <c r="H34" i="17"/>
  <c r="R42" i="17"/>
  <c r="R46" i="17"/>
  <c r="H16" i="17"/>
  <c r="O44" i="17" a="1"/>
  <c r="O44" i="17" s="1"/>
  <c r="E13" i="17"/>
  <c r="Q44" i="16"/>
  <c r="E11" i="16"/>
  <c r="E21" i="16"/>
  <c r="H29" i="16"/>
  <c r="E33" i="16"/>
  <c r="T43" i="16"/>
  <c r="R44" i="16"/>
  <c r="T47" i="16"/>
  <c r="R48" i="16"/>
  <c r="H37" i="16"/>
  <c r="R41" i="16"/>
  <c r="T44" i="16"/>
  <c r="R45" i="16"/>
  <c r="T48" i="16"/>
  <c r="E37" i="16"/>
  <c r="Q41" i="16"/>
  <c r="S44" i="16"/>
  <c r="E23" i="16"/>
  <c r="H30" i="16"/>
  <c r="E34" i="16"/>
  <c r="O43" i="16" a="1"/>
  <c r="O43" i="16" s="1"/>
  <c r="S45" i="16"/>
  <c r="O47" i="16" a="1"/>
  <c r="O47" i="16" s="1"/>
  <c r="X47" i="16" s="1"/>
  <c r="H12" i="16"/>
  <c r="H34" i="16"/>
  <c r="R42" i="16"/>
  <c r="R46" i="16"/>
  <c r="H16" i="16"/>
  <c r="H27" i="16"/>
  <c r="E13" i="16"/>
  <c r="E24" i="16"/>
  <c r="T43" i="15"/>
  <c r="E37" i="15"/>
  <c r="Q41" i="15"/>
  <c r="O42" i="15" a="1"/>
  <c r="O42" i="15" s="1"/>
  <c r="S44" i="15"/>
  <c r="Q45" i="15"/>
  <c r="O46" i="15" a="1"/>
  <c r="O46" i="15" s="1"/>
  <c r="S48" i="15"/>
  <c r="Q44" i="15"/>
  <c r="R48" i="15"/>
  <c r="R41" i="15"/>
  <c r="T44" i="15"/>
  <c r="R45" i="15"/>
  <c r="T48" i="15"/>
  <c r="H36" i="15"/>
  <c r="E23" i="15"/>
  <c r="H30" i="15"/>
  <c r="E34" i="15"/>
  <c r="S41" i="15"/>
  <c r="O43" i="15" a="1"/>
  <c r="O43" i="15" s="1"/>
  <c r="S45" i="15"/>
  <c r="Q46" i="15"/>
  <c r="O47" i="15" a="1"/>
  <c r="O47" i="15" s="1"/>
  <c r="E11" i="15"/>
  <c r="E21" i="15"/>
  <c r="H34" i="15"/>
  <c r="R42" i="15"/>
  <c r="R46" i="15"/>
  <c r="H16" i="15"/>
  <c r="O44" i="15" a="1"/>
  <c r="O44" i="15" s="1"/>
  <c r="Q47" i="15"/>
  <c r="E13" i="15"/>
  <c r="Q45" i="14"/>
  <c r="E15" i="14"/>
  <c r="O41" i="14" a="1"/>
  <c r="O41" i="14" s="1"/>
  <c r="S43" i="14"/>
  <c r="Q44" i="14"/>
  <c r="O45" i="14" a="1"/>
  <c r="O45" i="14" s="1"/>
  <c r="S47" i="14"/>
  <c r="Q48" i="14"/>
  <c r="S44" i="14"/>
  <c r="E34" i="14"/>
  <c r="T43" i="14"/>
  <c r="R44" i="14"/>
  <c r="T47" i="14"/>
  <c r="R48" i="14"/>
  <c r="H13" i="14"/>
  <c r="E24" i="14"/>
  <c r="E32" i="14"/>
  <c r="H37" i="14"/>
  <c r="R41" i="14"/>
  <c r="R45" i="14"/>
  <c r="T48" i="14"/>
  <c r="S41" i="14"/>
  <c r="O43" i="14" a="1"/>
  <c r="O43" i="14" s="1"/>
  <c r="O47" i="14" a="1"/>
  <c r="O47" i="14" s="1"/>
  <c r="X47" i="14" s="1"/>
  <c r="H11" i="14"/>
  <c r="H19" i="14"/>
  <c r="E22" i="14"/>
  <c r="H27" i="14"/>
  <c r="R42" i="14"/>
  <c r="R46" i="14"/>
  <c r="E17" i="14"/>
  <c r="E25" i="14"/>
  <c r="E33" i="14"/>
  <c r="H33" i="14"/>
  <c r="H36" i="13"/>
  <c r="E26" i="13"/>
  <c r="E34" i="13"/>
  <c r="R44" i="13"/>
  <c r="R48" i="13"/>
  <c r="Q44" i="13"/>
  <c r="H18" i="13"/>
  <c r="E37" i="13"/>
  <c r="S48" i="13"/>
  <c r="H13" i="13"/>
  <c r="E24" i="13"/>
  <c r="H29" i="13"/>
  <c r="E32" i="13"/>
  <c r="H37" i="13"/>
  <c r="R41" i="13"/>
  <c r="T44" i="13"/>
  <c r="R45" i="13"/>
  <c r="T48" i="13"/>
  <c r="E13" i="13"/>
  <c r="E21" i="13"/>
  <c r="H34" i="13"/>
  <c r="S44" i="13"/>
  <c r="H16" i="13"/>
  <c r="S41" i="13"/>
  <c r="O43" i="13" a="1"/>
  <c r="O43" i="13" s="1"/>
  <c r="S45" i="13"/>
  <c r="O47" i="13" a="1"/>
  <c r="O47" i="13" s="1"/>
  <c r="H11" i="13"/>
  <c r="H19" i="13"/>
  <c r="E22" i="13"/>
  <c r="H27" i="13"/>
  <c r="H35" i="13"/>
  <c r="R42" i="13"/>
  <c r="R46" i="13"/>
  <c r="E17" i="13"/>
  <c r="E25" i="13"/>
  <c r="E33" i="13"/>
  <c r="H33" i="13"/>
  <c r="Q44" i="12"/>
  <c r="S47" i="12"/>
  <c r="Q48" i="12"/>
  <c r="T43" i="12"/>
  <c r="R44" i="12"/>
  <c r="E13" i="12"/>
  <c r="H18" i="12"/>
  <c r="E21" i="12"/>
  <c r="H34" i="12"/>
  <c r="E37" i="12"/>
  <c r="Q41" i="12"/>
  <c r="O42" i="12" a="1"/>
  <c r="O42" i="12" s="1"/>
  <c r="X42" i="12" s="1"/>
  <c r="S44" i="12"/>
  <c r="Q45" i="12"/>
  <c r="O46" i="12" a="1"/>
  <c r="O46" i="12" s="1"/>
  <c r="S48" i="12"/>
  <c r="S43" i="12"/>
  <c r="H15" i="12"/>
  <c r="H23" i="12"/>
  <c r="E26" i="12"/>
  <c r="E34" i="12"/>
  <c r="T47" i="12"/>
  <c r="H21" i="12"/>
  <c r="H29" i="12"/>
  <c r="E32" i="12"/>
  <c r="R41" i="12"/>
  <c r="R45" i="12"/>
  <c r="T48" i="12"/>
  <c r="E14" i="12"/>
  <c r="E30" i="12"/>
  <c r="H35" i="12"/>
  <c r="E38" i="12"/>
  <c r="R42" i="12"/>
  <c r="R46" i="12"/>
  <c r="H16" i="12"/>
  <c r="Q42" i="12"/>
  <c r="S46" i="12"/>
  <c r="E12" i="12"/>
  <c r="H17" i="12"/>
  <c r="E26" i="11"/>
  <c r="E34" i="11"/>
  <c r="T43" i="11"/>
  <c r="R44" i="11"/>
  <c r="T47" i="11"/>
  <c r="R48" i="11"/>
  <c r="E13" i="11"/>
  <c r="H18" i="11"/>
  <c r="E21" i="11"/>
  <c r="H34" i="11"/>
  <c r="E37" i="11"/>
  <c r="Q41" i="11"/>
  <c r="O42" i="11" a="1"/>
  <c r="O42" i="11" s="1"/>
  <c r="S44" i="11"/>
  <c r="Q45" i="11"/>
  <c r="O46" i="11" a="1"/>
  <c r="O46" i="11" s="1"/>
  <c r="S48" i="11"/>
  <c r="Q48" i="11"/>
  <c r="H29" i="11"/>
  <c r="H37" i="11"/>
  <c r="R41" i="11"/>
  <c r="T44" i="11"/>
  <c r="R45" i="11"/>
  <c r="E11" i="11"/>
  <c r="H16" i="11"/>
  <c r="O43" i="11" a="1"/>
  <c r="O43" i="11" s="1"/>
  <c r="Q46" i="11"/>
  <c r="O47" i="11" a="1"/>
  <c r="O47" i="11" s="1"/>
  <c r="Q44" i="11"/>
  <c r="H11" i="11"/>
  <c r="H19" i="11"/>
  <c r="R42" i="11"/>
  <c r="R46" i="11"/>
  <c r="X41" i="10"/>
  <c r="X42" i="10"/>
  <c r="T43" i="10"/>
  <c r="R44" i="10"/>
  <c r="S48" i="10"/>
  <c r="T48" i="10"/>
  <c r="H19" i="10"/>
  <c r="E23" i="10"/>
  <c r="H30" i="10"/>
  <c r="E34" i="10"/>
  <c r="S41" i="10"/>
  <c r="Q42" i="10"/>
  <c r="O43" i="10" a="1"/>
  <c r="O43" i="10" s="1"/>
  <c r="X43" i="10" s="1"/>
  <c r="S45" i="10"/>
  <c r="Q46" i="10"/>
  <c r="E11" i="10"/>
  <c r="Q45" i="10"/>
  <c r="H34" i="10"/>
  <c r="T41" i="10"/>
  <c r="R42" i="10"/>
  <c r="T45" i="10"/>
  <c r="R46" i="10"/>
  <c r="Q44" i="10"/>
  <c r="Q48" i="10"/>
  <c r="E21" i="10"/>
  <c r="E37" i="10"/>
  <c r="Q41" i="10"/>
  <c r="H16" i="10"/>
  <c r="H27" i="10"/>
  <c r="S42" i="10"/>
  <c r="Q43" i="10"/>
  <c r="S46" i="10"/>
  <c r="Q47" i="10"/>
  <c r="H36" i="10"/>
  <c r="S44" i="10"/>
  <c r="E13" i="10"/>
  <c r="E24" i="10"/>
  <c r="Q48" i="9"/>
  <c r="E11" i="9"/>
  <c r="E21" i="9"/>
  <c r="H29" i="9"/>
  <c r="E33" i="9"/>
  <c r="T43" i="9"/>
  <c r="R44" i="9"/>
  <c r="T47" i="9"/>
  <c r="R48" i="9"/>
  <c r="E37" i="9"/>
  <c r="Q41" i="9"/>
  <c r="S44" i="9"/>
  <c r="Q45" i="9"/>
  <c r="S48" i="9"/>
  <c r="H37" i="9"/>
  <c r="R41" i="9"/>
  <c r="T44" i="9"/>
  <c r="R45" i="9"/>
  <c r="E23" i="9"/>
  <c r="H30" i="9"/>
  <c r="E34" i="9"/>
  <c r="O43" i="9" a="1"/>
  <c r="O43" i="9" s="1"/>
  <c r="O47" i="9" a="1"/>
  <c r="O47" i="9" s="1"/>
  <c r="H12" i="9"/>
  <c r="H23" i="9"/>
  <c r="H34" i="9"/>
  <c r="R42" i="9"/>
  <c r="R46" i="9"/>
  <c r="Q44" i="9"/>
  <c r="H16" i="9"/>
  <c r="Q43" i="9"/>
  <c r="E13" i="9"/>
  <c r="E24" i="9"/>
  <c r="Q44" i="8"/>
  <c r="Q48" i="8"/>
  <c r="E11" i="8"/>
  <c r="E21" i="8"/>
  <c r="H29" i="8"/>
  <c r="E33" i="8"/>
  <c r="T43" i="8"/>
  <c r="R44" i="8"/>
  <c r="T47" i="8"/>
  <c r="R48" i="8"/>
  <c r="E37" i="8"/>
  <c r="Q41" i="8"/>
  <c r="O42" i="8" a="1"/>
  <c r="O42" i="8" s="1"/>
  <c r="X42" i="8" s="1"/>
  <c r="S44" i="8"/>
  <c r="Q45" i="8"/>
  <c r="O46" i="8" a="1"/>
  <c r="O46" i="8" s="1"/>
  <c r="S48" i="8"/>
  <c r="H36" i="8"/>
  <c r="R41" i="8"/>
  <c r="T44" i="8"/>
  <c r="R45" i="8"/>
  <c r="E23" i="8"/>
  <c r="H30" i="8"/>
  <c r="O43" i="8" a="1"/>
  <c r="O43" i="8" s="1"/>
  <c r="O47" i="8" a="1"/>
  <c r="O47" i="8" s="1"/>
  <c r="H12" i="8"/>
  <c r="H23" i="8"/>
  <c r="H34" i="8"/>
  <c r="R42" i="8"/>
  <c r="R46" i="8"/>
  <c r="H16" i="8"/>
  <c r="Q43" i="8"/>
  <c r="S46" i="8"/>
  <c r="Q47" i="8"/>
  <c r="E13" i="8"/>
  <c r="S48" i="7"/>
  <c r="R41" i="7"/>
  <c r="E15" i="7"/>
  <c r="O41" i="7" a="1"/>
  <c r="O41" i="7" s="1"/>
  <c r="S43" i="7"/>
  <c r="Q44" i="7"/>
  <c r="O45" i="7" a="1"/>
  <c r="O45" i="7" s="1"/>
  <c r="S47" i="7"/>
  <c r="Q48" i="7"/>
  <c r="T43" i="7"/>
  <c r="T47" i="7"/>
  <c r="S44" i="7"/>
  <c r="Q45" i="7"/>
  <c r="H13" i="7"/>
  <c r="H37" i="7"/>
  <c r="S41" i="7"/>
  <c r="Q42" i="7"/>
  <c r="O43" i="7" a="1"/>
  <c r="O43" i="7" s="1"/>
  <c r="S45" i="7"/>
  <c r="Q46" i="7"/>
  <c r="O47" i="7" a="1"/>
  <c r="O47" i="7" s="1"/>
  <c r="Q41" i="7"/>
  <c r="E24" i="7"/>
  <c r="T44" i="7"/>
  <c r="H11" i="7"/>
  <c r="H19" i="7"/>
  <c r="E22" i="7"/>
  <c r="H27" i="7"/>
  <c r="R42" i="7"/>
  <c r="R46" i="7"/>
  <c r="E17" i="7"/>
  <c r="E25" i="7"/>
  <c r="E33" i="7"/>
  <c r="S42" i="7"/>
  <c r="Q43" i="7"/>
  <c r="S46" i="7"/>
  <c r="H33" i="7"/>
  <c r="H36" i="6"/>
  <c r="Q48" i="6"/>
  <c r="E11" i="6"/>
  <c r="E21" i="6"/>
  <c r="H29" i="6"/>
  <c r="E33" i="6"/>
  <c r="T43" i="6"/>
  <c r="R44" i="6"/>
  <c r="T47" i="6"/>
  <c r="R48" i="6"/>
  <c r="H37" i="6"/>
  <c r="R41" i="6"/>
  <c r="T44" i="6"/>
  <c r="R45" i="6"/>
  <c r="T48" i="6"/>
  <c r="Q44" i="6"/>
  <c r="E37" i="6"/>
  <c r="E23" i="6"/>
  <c r="H30" i="6"/>
  <c r="S41" i="6"/>
  <c r="O43" i="6" a="1"/>
  <c r="O43" i="6" s="1"/>
  <c r="X43" i="6" s="1"/>
  <c r="S45" i="6"/>
  <c r="Q46" i="6"/>
  <c r="O47" i="6" a="1"/>
  <c r="O47" i="6" s="1"/>
  <c r="H34" i="6"/>
  <c r="R42" i="6"/>
  <c r="R46" i="6"/>
  <c r="S44" i="6"/>
  <c r="H16" i="6"/>
  <c r="H27" i="6"/>
  <c r="E13" i="6"/>
  <c r="E24" i="6"/>
  <c r="E13" i="5"/>
  <c r="H18" i="5"/>
  <c r="E21" i="5"/>
  <c r="H34" i="5"/>
  <c r="E37" i="5"/>
  <c r="Q41" i="5"/>
  <c r="O42" i="5" a="1"/>
  <c r="O42" i="5" s="1"/>
  <c r="S44" i="5"/>
  <c r="Q45" i="5"/>
  <c r="O46" i="5" a="1"/>
  <c r="O46" i="5" s="1"/>
  <c r="S48" i="5"/>
  <c r="H29" i="5"/>
  <c r="E32" i="5"/>
  <c r="H37" i="5"/>
  <c r="R41" i="5"/>
  <c r="T44" i="5"/>
  <c r="R45" i="5"/>
  <c r="T48" i="5"/>
  <c r="R48" i="5"/>
  <c r="E11" i="5"/>
  <c r="H16" i="5"/>
  <c r="S41" i="5"/>
  <c r="O43" i="5" a="1"/>
  <c r="O43" i="5" s="1"/>
  <c r="S45" i="5"/>
  <c r="Q46" i="5"/>
  <c r="O47" i="5" a="1"/>
  <c r="O47" i="5" s="1"/>
  <c r="X47" i="5" s="1"/>
  <c r="H11" i="5"/>
  <c r="H19" i="5"/>
  <c r="R42" i="5"/>
  <c r="R46" i="5"/>
  <c r="H36" i="5"/>
  <c r="Q44" i="5"/>
  <c r="R44" i="5"/>
  <c r="H30" i="5"/>
  <c r="X47" i="26" l="1"/>
  <c r="X46" i="17"/>
  <c r="X47" i="19"/>
  <c r="X43" i="28"/>
  <c r="X43" i="30"/>
  <c r="X45" i="30"/>
  <c r="X47" i="6"/>
  <c r="X43" i="8"/>
  <c r="X44" i="15"/>
  <c r="X46" i="16"/>
  <c r="X47" i="22"/>
  <c r="X45" i="25"/>
  <c r="X47" i="7"/>
  <c r="X48" i="5"/>
  <c r="X48" i="7"/>
  <c r="X41" i="19"/>
  <c r="X42" i="26"/>
  <c r="X47" i="9"/>
  <c r="X45" i="11"/>
  <c r="X43" i="27"/>
  <c r="X41" i="9"/>
  <c r="X47" i="11"/>
  <c r="X43" i="13"/>
  <c r="X41" i="14"/>
  <c r="X42" i="21"/>
  <c r="X42" i="29"/>
  <c r="X41" i="30"/>
  <c r="X47" i="30"/>
  <c r="X42" i="30"/>
  <c r="X46" i="30"/>
  <c r="X44" i="30"/>
  <c r="X47" i="29"/>
  <c r="X43" i="29"/>
  <c r="X41" i="29"/>
  <c r="X46" i="29"/>
  <c r="X45" i="29"/>
  <c r="X44" i="29"/>
  <c r="X46" i="28"/>
  <c r="X44" i="28"/>
  <c r="X47" i="28"/>
  <c r="X42" i="28"/>
  <c r="X41" i="28"/>
  <c r="X45" i="28"/>
  <c r="X42" i="27"/>
  <c r="X44" i="27"/>
  <c r="X47" i="27"/>
  <c r="X46" i="27"/>
  <c r="X41" i="27"/>
  <c r="X45" i="27"/>
  <c r="X45" i="26"/>
  <c r="X46" i="26"/>
  <c r="X41" i="26"/>
  <c r="X43" i="26"/>
  <c r="X44" i="26"/>
  <c r="X42" i="25"/>
  <c r="X41" i="25"/>
  <c r="X43" i="25"/>
  <c r="X46" i="25"/>
  <c r="X44" i="25"/>
  <c r="X41" i="22"/>
  <c r="X46" i="22"/>
  <c r="X43" i="22"/>
  <c r="X44" i="22"/>
  <c r="X45" i="22"/>
  <c r="X42" i="22"/>
  <c r="X47" i="21"/>
  <c r="X43" i="21"/>
  <c r="X46" i="21"/>
  <c r="X41" i="21"/>
  <c r="X45" i="21"/>
  <c r="X44" i="21"/>
  <c r="X43" i="20"/>
  <c r="X46" i="20"/>
  <c r="X45" i="20"/>
  <c r="X44" i="20"/>
  <c r="X42" i="20"/>
  <c r="X43" i="19"/>
  <c r="X46" i="19"/>
  <c r="X45" i="19"/>
  <c r="X44" i="19"/>
  <c r="X42" i="19"/>
  <c r="X43" i="18"/>
  <c r="X44" i="18"/>
  <c r="X47" i="18"/>
  <c r="X46" i="18"/>
  <c r="X41" i="18"/>
  <c r="X45" i="18"/>
  <c r="X42" i="17"/>
  <c r="X47" i="17"/>
  <c r="X43" i="17"/>
  <c r="X41" i="17"/>
  <c r="X44" i="17"/>
  <c r="X45" i="17"/>
  <c r="X42" i="16"/>
  <c r="X41" i="16"/>
  <c r="X43" i="16"/>
  <c r="X44" i="16"/>
  <c r="X45" i="16"/>
  <c r="X43" i="15"/>
  <c r="X42" i="15"/>
  <c r="X41" i="15"/>
  <c r="X47" i="15"/>
  <c r="X46" i="15"/>
  <c r="X45" i="15"/>
  <c r="X48" i="14"/>
  <c r="X43" i="14"/>
  <c r="X46" i="14"/>
  <c r="X45" i="14"/>
  <c r="X44" i="14"/>
  <c r="X42" i="14"/>
  <c r="X45" i="13"/>
  <c r="X48" i="13"/>
  <c r="X44" i="13"/>
  <c r="X42" i="13"/>
  <c r="X46" i="13"/>
  <c r="X47" i="13"/>
  <c r="X41" i="13"/>
  <c r="X48" i="12"/>
  <c r="X46" i="12"/>
  <c r="X47" i="12"/>
  <c r="X43" i="12"/>
  <c r="X41" i="12"/>
  <c r="X45" i="12"/>
  <c r="X44" i="12"/>
  <c r="X46" i="11"/>
  <c r="X48" i="11"/>
  <c r="X41" i="11"/>
  <c r="X43" i="11"/>
  <c r="X42" i="11"/>
  <c r="X44" i="11"/>
  <c r="X46" i="10"/>
  <c r="X47" i="10"/>
  <c r="X45" i="10"/>
  <c r="X44" i="10"/>
  <c r="X42" i="9"/>
  <c r="X43" i="9"/>
  <c r="X46" i="9"/>
  <c r="X45" i="9"/>
  <c r="X44" i="9"/>
  <c r="X47" i="8"/>
  <c r="X46" i="8"/>
  <c r="X41" i="8"/>
  <c r="X45" i="8"/>
  <c r="X44" i="8"/>
  <c r="X43" i="7"/>
  <c r="X44" i="7"/>
  <c r="X41" i="7"/>
  <c r="X45" i="7"/>
  <c r="X46" i="7"/>
  <c r="X42" i="7"/>
  <c r="X41" i="6"/>
  <c r="X46" i="6"/>
  <c r="X45" i="6"/>
  <c r="X44" i="6"/>
  <c r="X42" i="6"/>
  <c r="X43" i="5"/>
  <c r="X42" i="5"/>
  <c r="X41" i="5"/>
  <c r="X44" i="5"/>
  <c r="X46" i="5"/>
  <c r="X4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<sst xmlns="http://schemas.openxmlformats.org/spreadsheetml/2006/main" count="3360" uniqueCount="371">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</sst>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F23542DF-7370-4EB8-9600-6B6BD91B4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1EF9D2-46E7-4F91-A127-A6C9A123F2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09842D-7139-4BFA-B86A-4BAEEA059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043FFA-34E7-4F9E-AF32-E34C99D033E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6AB8CD-1E7F-4086-9F24-2B6B155E76A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9BB738-82B6-4D46-B839-9C04199B8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A66BEA1-D4CB-4158-A0E4-C6FA8BA51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AB76BC2-5543-40C1-B4B2-83CF77CB485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8CB4F3-FADD-4EBB-BA6C-E7722DA61B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5C63B3-5135-4A79-91D7-F35E22D8F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DCAC378-804E-43E4-B86F-0761EEFCA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67DE8B-9A2D-4481-80DB-FD39E158048A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0DB260D-0BDF-4DCC-927D-88C8764F9830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2566697-13E3-409B-8261-B67A79576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9676BF3-56AA-4692-A763-599608EBB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93FD8A-458C-431B-BD45-DA36607E5C3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0913B46-54F1-442A-ADC5-688262F96F7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7476481-17E6-4860-89D0-275A5567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E794A42-89A1-4C31-BF82-7EBC9FE01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B9D28C9-F7A9-4CDF-87A2-054E77675C0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7413623-92CF-41FC-B53D-B9F268AEBBE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D5C01A-4F81-4A67-A93F-89C1564EB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F9CD8D-6309-42C4-A88A-DEA8D3EA8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BA642D-2904-4B96-9281-75EB249925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FE4E84C-E054-4078-BFF8-53B997A4831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A35B3DF-1766-47E2-89AF-874E2DEE1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E268137-E735-45E2-985C-86DCFE5E8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16E89C-E60F-4FA8-A75E-CF720914105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7C493F5-F51F-4B6B-9E00-F145B37516B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A4D9FE-B6F5-41F3-95C8-AAE659DC9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7761B4A-D7A8-4C23-B193-9363571E7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423D73-31EB-44FF-BA06-CF68BE77EFA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5ADB20E-2E4A-4312-8A8B-F818C64F926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E828E09-722A-43C5-84B2-596F34E6E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A37C137-707E-403B-8709-58D38469E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976D1D-B9DF-4CAF-9202-5FDBF563CA9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890512-DC92-4B4A-BC85-804F4034081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C18DE3-20AC-4D2A-B894-856E0B68C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85B46A9-4F24-4940-BF3D-235B13E241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59E6DB-C8E5-419C-9CB9-92E421691FE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1626EC3-434E-406F-9315-DEBB860DF4A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96A8F6-51EF-4420-A2C1-F11D657D5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0B887C5-6AFF-45F4-BC55-B3D61BA98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CA301F-68DF-4FD9-AE56-9C1FCF93111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94416A-C155-4A39-809A-6F69E793871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A483D-4110-4AC0-B74F-3DB61FDE2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AB98161-6912-4852-B654-4345B7031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A6EA03-C501-43FF-B76C-F5B1F8776ED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832720F-679E-4309-9039-7F913A9E305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E7B6A8E-C23E-42C0-9088-F1CF6BDA2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54DB4C5-0518-4172-82F2-1B9FC03022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FF58D9A-B2FB-4534-AA17-722C8DB1E23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552DAEA-9392-471D-9849-858D0821F67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748236E-D2C7-41FD-B4E0-F50B4D0B5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1EE79E0-399A-42CB-83FB-03BDC421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DE6BAAA-B012-46EE-9F9E-6DABE99FD4F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7D7CD1A-BFCD-4D46-9DC0-6B6482B6734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F9D523-13E8-47FF-A2BE-665A34FED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49B33C7-4AE9-4EAA-9BB0-FF5E8963D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BFB9638-A9F4-4A7E-987C-32E1E44AAFE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408E52-B536-4BEF-9196-BAC7E1A462E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6A9A55-4FC1-45E0-BB52-724D45930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A24751-541B-415A-A261-A94BB4B9E4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4E57C7-6A68-481D-B497-C0ED0888C3F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689D5BB-158F-4553-8DEB-3CC6E9E632B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1C562E-461C-40E8-83EB-86CFC14B4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2E289E5-E226-4B90-A42A-EFE386509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473875-5F22-4484-A91C-A2284B3FCD1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30A021B-9C52-4717-9118-17400955CC3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2918-393B-4E32-854A-9605AD3C4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CA07724-9684-4691-B890-85DF980C5D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C76E23-CF99-48CA-A26C-A21269645C4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F6669AF-A5D1-4A1A-B16B-F2FC81B3FB3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077D8CA-BF7D-4429-A721-BA811EDA7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A392B56-BA4D-4A2A-A780-658B8E2477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911EC2-3E67-43F9-832D-AB6D519037C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82F016F-B2FD-42C4-B44A-8390DA1D955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C5674FB-B6B8-46BB-A9EA-01047CC37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FB1E32B-17A2-4448-86C5-8226B2B2C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422B880-CBED-4F58-ABC6-D16C1ABFDE7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791AAB8-2D4A-426D-B411-8CBD541A1EF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9577646-81FD-4FDC-8EB2-D6F8AD6F2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BF0FE5B-DAA7-475B-8331-B3DD3F8D9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8CE1FD9-B667-4A3B-B9FA-5C8C6A45ECD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E7DD87C-3134-46DA-BC53-2DAA2022046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0979FEE-F903-4053-962A-CE2464C7D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15AAC02-54C9-4F01-8143-6A6D1DF62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D29DA0-87EB-4733-9B80-35A8F5128E2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5C0D85F-28E6-463B-A8DA-52584758DDB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D28850-0643-47B2-A0C2-4E9FAD8A8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908225B-6660-4ADD-A2F7-1877D4C0E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638BFF9-3EB6-4EC5-A671-6E755DB4AF1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32CEE74-78B5-4BC5-88F9-8C5FD32E3DC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0F6CDE-28CD-4D5E-8E03-D64E6898D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AD112BE-B366-430D-A1D4-938B0B54A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334503-915A-4A42-9AC2-0BC3C44A738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897F4B5-59C2-4C2A-8ED3-1444DF6BCA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5D286C-AF34-4166-9430-4B2BCE2EF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FF8E4E8-B469-4D29-A064-E69C5F810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EAD898-D8AF-405E-A311-FD8A56EF60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2EF6502-257E-482E-AC02-36406A33236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DA0B47B-6661-4866-9447-F105E2520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0B65BF2-B50E-448D-9C59-ED6FA719C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8698A40-0B08-4FA6-AC8A-C1ADCB8B541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9CEB202-E188-4633-B09D-AF4F60BF948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1B01D11-1E42-4A99-BAEB-555ADC29C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2078031-AC74-44FB-AFF1-E8AD62836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74FA97C-149C-491F-8E59-F4C58E171B5D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4ABF3A8-A6F5-46FD-824E-3A62814A64F4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F715D8-FB1A-4029-A8F7-D43CC47D0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ADEC92D-4C40-4A03-8654-D43456870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23227A-2AD3-4887-93E1-A5089A0F4A2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3C5A1DB-7E84-4E00-B64E-11A0AD582C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1D1D121-21F4-47AE-9F54-65EF16E90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5D63406A-01D2-4A3F-8B88-49B926377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D89580E-AD05-4397-8153-502743154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30D5C79-DC7E-4A8A-A4A7-89FDBD3D919B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D410C1-B5FB-4E0A-B684-818C00033785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FF0C4FF-5D97-4567-851B-3CCECE74D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0C6E2-3A9F-404B-9914-4D24827F217B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41250-3FE1-40DC-80F8-08FD24EB873B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AC0E9-A0AE-4555-A2CC-6D13B13820B6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8531A-DBB0-4F49-B23D-A846298FDAEE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02B46-A991-4187-92F7-C54E9A0ACDAF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0</v>
      </c>
      <c r="K26" s="124" t="s">
        <v>294</v>
      </c>
      <c r="L26" s="125">
        <v>0</v>
      </c>
      <c r="M26" s="126" t="str">
        <f>Scheids!$F$6</f>
        <v>Guus Heemskerk</v>
      </c>
      <c r="N26" s="127"/>
      <c r="O26" s="128"/>
      <c r="Q26" s="129">
        <v>1</v>
      </c>
      <c r="R26" s="129">
        <v>1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0</v>
      </c>
      <c r="M27" s="126" t="str">
        <f>Scheids!$F$6</f>
        <v>Guus Heemskerk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0</v>
      </c>
      <c r="M28" s="126" t="str">
        <f>Scheids!$F$6</f>
        <v>Guus Heemskerk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3</v>
      </c>
      <c r="K29" s="124" t="s">
        <v>294</v>
      </c>
      <c r="L29" s="125">
        <v>0</v>
      </c>
      <c r="M29" s="126" t="str">
        <f>Scheids!$D$6</f>
        <v>Ruud van Oosten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3</v>
      </c>
      <c r="K30" s="124" t="s">
        <v>294</v>
      </c>
      <c r="L30" s="125">
        <v>0</v>
      </c>
      <c r="M30" s="126" t="str">
        <f>Scheids!$D$6</f>
        <v>Ruud van Oosten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0</v>
      </c>
      <c r="K31" s="124" t="s">
        <v>294</v>
      </c>
      <c r="L31" s="125">
        <v>0</v>
      </c>
      <c r="M31" s="126" t="str">
        <f>Scheids!$D$6</f>
        <v>Ruud van Oosten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5</v>
      </c>
      <c r="R41" s="152">
        <f>COUNTIFS(E41:N41,3)</f>
        <v>0</v>
      </c>
      <c r="S41" s="152">
        <f>COUNTIFS(E41:N41,0)</f>
        <v>5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15</v>
      </c>
      <c r="W41" s="152">
        <f>Q11+R18+Q21+Q23+R29+Q34+R36</f>
        <v>10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3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5</v>
      </c>
      <c r="R42" s="152">
        <f t="shared" ref="R42:R48" si="2">COUNTIFS(E42:N42,3)</f>
        <v>4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3</v>
      </c>
      <c r="W42" s="152">
        <f>R11+Q15+R19+Q25+Q28+Q33+R37</f>
        <v>9</v>
      </c>
      <c r="X42" s="129">
        <f t="shared" si="1"/>
        <v>3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5</v>
      </c>
      <c r="R43" s="152">
        <f t="shared" si="2"/>
        <v>2</v>
      </c>
      <c r="S43" s="152">
        <f t="shared" si="3"/>
        <v>2</v>
      </c>
      <c r="T43" s="152">
        <f t="shared" si="4"/>
        <v>1</v>
      </c>
      <c r="U43" s="152">
        <f>J12+L15+J20+L23+J27+J32+L35</f>
        <v>4</v>
      </c>
      <c r="V43" s="152">
        <f>L12+J15+L20+J23+L27+L32+J35</f>
        <v>5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58"/>
      <c r="M44" s="156">
        <f>IF(AND($J$31&lt;&gt;"",$L$31&lt;&gt;""),IF($J$31&lt;$L$31,3,IF($J$31=$L$31,1,0)),"")</f>
        <v>1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8</v>
      </c>
      <c r="V44" s="152">
        <f>J12+L16+L19+J24+L29+J31+J38</f>
        <v>3</v>
      </c>
      <c r="W44" s="152">
        <f>R12+Q16+Q19+R24+Q29+R31+R38</f>
        <v>12</v>
      </c>
      <c r="X44" s="129">
        <f t="shared" si="1"/>
        <v>2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1</v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5</v>
      </c>
      <c r="R45" s="152">
        <f t="shared" si="2"/>
        <v>0</v>
      </c>
      <c r="S45" s="152">
        <f t="shared" si="3"/>
        <v>3</v>
      </c>
      <c r="T45" s="152">
        <f t="shared" si="4"/>
        <v>2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5</v>
      </c>
      <c r="R46" s="152">
        <f t="shared" si="2"/>
        <v>1</v>
      </c>
      <c r="S46" s="152">
        <f t="shared" si="3"/>
        <v>3</v>
      </c>
      <c r="T46" s="152">
        <f t="shared" si="4"/>
        <v>1</v>
      </c>
      <c r="U46" s="152">
        <f>L13+J17+J22+J24+L27+L33+J36</f>
        <v>2</v>
      </c>
      <c r="V46" s="152">
        <f>J13+L17+L22+L24+J27+J33+L36</f>
        <v>5</v>
      </c>
      <c r="W46" s="152">
        <f>R13+Q17+Q22+Q24+R27+R33+Q36</f>
        <v>9</v>
      </c>
      <c r="X46" s="129">
        <f t="shared" si="1"/>
        <v>6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5</v>
      </c>
      <c r="R47" s="152">
        <f t="shared" si="2"/>
        <v>5</v>
      </c>
      <c r="S47" s="152">
        <f t="shared" si="3"/>
        <v>0</v>
      </c>
      <c r="T47" s="152">
        <f t="shared" si="4"/>
        <v>0</v>
      </c>
      <c r="U47" s="152">
        <f>J14+L17+L21+L25+J30+L32+J38</f>
        <v>17</v>
      </c>
      <c r="V47" s="152">
        <f>L14+J17+J21+J25+L30+J32+L38</f>
        <v>0</v>
      </c>
      <c r="W47" s="152">
        <f>Q14+R17+R21+R25+Q30+R32+Q38</f>
        <v>10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1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1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6</v>
      </c>
      <c r="Q48" s="152">
        <f t="shared" si="0"/>
        <v>6</v>
      </c>
      <c r="R48" s="152">
        <f t="shared" si="2"/>
        <v>1</v>
      </c>
      <c r="S48" s="152">
        <f t="shared" si="3"/>
        <v>2</v>
      </c>
      <c r="T48" s="152">
        <f t="shared" si="4"/>
        <v>3</v>
      </c>
      <c r="U48" s="152">
        <f>L14+J18+L22+L26+L28+J31+J35</f>
        <v>3</v>
      </c>
      <c r="V48" s="152">
        <f>J14+L18+J22+J26+J28+L31+L35</f>
        <v>7</v>
      </c>
      <c r="W48" s="152">
        <f>+R14+Q18+R22+R26+R28+Q31+Q35</f>
        <v>10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5124-832F-4274-8CC2-682EDE142B8B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0</v>
      </c>
      <c r="K13" s="124" t="s">
        <v>294</v>
      </c>
      <c r="L13" s="125">
        <v>5</v>
      </c>
      <c r="M13" s="126" t="str">
        <f>Scheids!$D$7</f>
        <v>Marcel de Letter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0</v>
      </c>
      <c r="K27" s="124" t="s">
        <v>294</v>
      </c>
      <c r="L27" s="125">
        <v>5</v>
      </c>
      <c r="M27" s="126" t="str">
        <f>Scheids!$D$7</f>
        <v>Marcel de Letter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0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0</v>
      </c>
      <c r="K30" s="124" t="s">
        <v>294</v>
      </c>
      <c r="L30" s="125">
        <v>0</v>
      </c>
      <c r="M30" s="126" t="str">
        <f>Scheids!$D$7</f>
        <v>Marcel de Letter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7</v>
      </c>
      <c r="V41" s="152">
        <f>L11+J18+L21+L23+J29+L34+J36</f>
        <v>0</v>
      </c>
      <c r="W41" s="152">
        <f>Q11+R18+Q21+Q23+R29+Q34+R36</f>
        <v>4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2</v>
      </c>
      <c r="W42" s="152">
        <f>R11+Q15+R19+Q25+Q28+Q33+R37</f>
        <v>5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5</v>
      </c>
      <c r="R43" s="152">
        <f t="shared" si="2"/>
        <v>0</v>
      </c>
      <c r="S43" s="152">
        <f t="shared" si="3"/>
        <v>2</v>
      </c>
      <c r="T43" s="152">
        <f t="shared" si="4"/>
        <v>3</v>
      </c>
      <c r="U43" s="152">
        <f>J12+L15+J20+L23+J27+J32+L35</f>
        <v>0</v>
      </c>
      <c r="V43" s="152">
        <f>L12+J15+L20+J23+L27+L32+J35</f>
        <v>8</v>
      </c>
      <c r="W43" s="152">
        <f>Q12+R15+Q20+R23+Q27+Q32+R35</f>
        <v>7</v>
      </c>
      <c r="X43" s="129">
        <f t="shared" si="1"/>
        <v>5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8</v>
      </c>
      <c r="Q44" s="152">
        <f t="shared" si="0"/>
        <v>5</v>
      </c>
      <c r="R44" s="152">
        <f t="shared" si="2"/>
        <v>2</v>
      </c>
      <c r="S44" s="152">
        <f t="shared" si="3"/>
        <v>1</v>
      </c>
      <c r="T44" s="152">
        <f t="shared" si="4"/>
        <v>2</v>
      </c>
      <c r="U44" s="152">
        <f>L12+J16+J19+L24+J29+L31+L38</f>
        <v>2</v>
      </c>
      <c r="V44" s="152">
        <f>J12+L16+L19+J24+L29+J31+J38</f>
        <v>2</v>
      </c>
      <c r="W44" s="152">
        <f>R12+Q16+Q19+R24+Q29+R31+R38</f>
        <v>7</v>
      </c>
      <c r="X44" s="129">
        <f t="shared" si="1"/>
        <v>3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4</v>
      </c>
      <c r="R45" s="152">
        <f t="shared" si="2"/>
        <v>0</v>
      </c>
      <c r="S45" s="152">
        <f t="shared" si="3"/>
        <v>2</v>
      </c>
      <c r="T45" s="152">
        <f t="shared" si="4"/>
        <v>2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10</v>
      </c>
      <c r="Q46" s="152">
        <f t="shared" si="0"/>
        <v>4</v>
      </c>
      <c r="R46" s="152">
        <f t="shared" si="2"/>
        <v>3</v>
      </c>
      <c r="S46" s="152">
        <f t="shared" si="3"/>
        <v>0</v>
      </c>
      <c r="T46" s="152">
        <f t="shared" si="4"/>
        <v>1</v>
      </c>
      <c r="U46" s="152">
        <f>L13+J17+J22+J24+L27+L33+J36</f>
        <v>13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4</v>
      </c>
      <c r="R47" s="152">
        <f t="shared" si="2"/>
        <v>1</v>
      </c>
      <c r="S47" s="152">
        <f t="shared" si="3"/>
        <v>2</v>
      </c>
      <c r="T47" s="152">
        <f t="shared" si="4"/>
        <v>1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6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2DF42-0E81-4F20-9794-D4F571E0D02B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2</v>
      </c>
      <c r="K26" s="124" t="s">
        <v>294</v>
      </c>
      <c r="L26" s="125">
        <v>0</v>
      </c>
      <c r="M26" s="126" t="str">
        <f>Scheids!$F$8</f>
        <v>Marcel den Os</v>
      </c>
      <c r="N26" s="127"/>
      <c r="O26" s="128"/>
      <c r="Q26" s="129">
        <v>1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5</v>
      </c>
      <c r="K27" s="124" t="s">
        <v>294</v>
      </c>
      <c r="L27" s="125">
        <v>0</v>
      </c>
      <c r="M27" s="126" t="str">
        <f>Scheids!$F$8</f>
        <v>Marcel den Os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2</v>
      </c>
      <c r="K28" s="124" t="s">
        <v>294</v>
      </c>
      <c r="L28" s="125">
        <v>0</v>
      </c>
      <c r="M28" s="126" t="str">
        <f>Scheids!$F$8</f>
        <v>Marcel den Os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0</v>
      </c>
      <c r="K29" s="124" t="s">
        <v>294</v>
      </c>
      <c r="L29" s="125">
        <v>4</v>
      </c>
      <c r="M29" s="126" t="str">
        <f>Scheids!$D$8</f>
        <v>Louis vd Weijde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0</v>
      </c>
      <c r="K30" s="124" t="s">
        <v>294</v>
      </c>
      <c r="L30" s="125">
        <v>3</v>
      </c>
      <c r="M30" s="126" t="str">
        <f>Scheids!$D$8</f>
        <v>Louis vd Weijde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0</v>
      </c>
      <c r="M31" s="126" t="str">
        <f>Scheids!$D$8</f>
        <v>Louis vd Weijde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13</v>
      </c>
      <c r="Q41" s="152">
        <f t="shared" ref="Q41:Q48" si="0">COUNT(E41:N41)</f>
        <v>5</v>
      </c>
      <c r="R41" s="152">
        <f>COUNTIFS(E41:N41,3)</f>
        <v>4</v>
      </c>
      <c r="S41" s="152">
        <f>COUNTIFS(E41:N41,0)</f>
        <v>0</v>
      </c>
      <c r="T41" s="152">
        <f>COUNTIFS(E41:N41,1)</f>
        <v>1</v>
      </c>
      <c r="U41" s="152">
        <f>J11+L18+J21+J23+L29+J34+L36</f>
        <v>16</v>
      </c>
      <c r="V41" s="152">
        <f>L11+J18+L21+L23+J29+L34+J36</f>
        <v>5</v>
      </c>
      <c r="W41" s="152">
        <f>Q11+R18+Q21+Q23+R29+Q34+R36</f>
        <v>6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3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5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8</v>
      </c>
      <c r="V42" s="152">
        <f>J11+L15+J19+L25+L28+L33+J37</f>
        <v>13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10</v>
      </c>
      <c r="Q43" s="152">
        <f t="shared" si="0"/>
        <v>5</v>
      </c>
      <c r="R43" s="152">
        <f t="shared" si="2"/>
        <v>3</v>
      </c>
      <c r="S43" s="152">
        <f t="shared" si="3"/>
        <v>1</v>
      </c>
      <c r="T43" s="152">
        <f t="shared" si="4"/>
        <v>1</v>
      </c>
      <c r="U43" s="152">
        <f>J12+L15+J20+L23+J27+J32+L35</f>
        <v>16</v>
      </c>
      <c r="V43" s="152">
        <f>L12+J15+L20+J23+L27+L32+J35</f>
        <v>6</v>
      </c>
      <c r="W43" s="152">
        <f>Q12+R15+Q20+R23+Q27+Q32+R35</f>
        <v>8</v>
      </c>
      <c r="X43" s="129">
        <f t="shared" si="1"/>
        <v>3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6</v>
      </c>
      <c r="R44" s="152">
        <f t="shared" si="2"/>
        <v>0</v>
      </c>
      <c r="S44" s="152">
        <f t="shared" si="3"/>
        <v>6</v>
      </c>
      <c r="T44" s="152">
        <f t="shared" si="4"/>
        <v>0</v>
      </c>
      <c r="U44" s="152">
        <f>L12+J16+J19+L24+J29+L31+L38</f>
        <v>0</v>
      </c>
      <c r="V44" s="152">
        <f>J12+L16+L19+J24+L29+J31+J38</f>
        <v>19</v>
      </c>
      <c r="W44" s="152">
        <f>R12+Q16+Q19+R24+Q29+R31+R38</f>
        <v>8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13</v>
      </c>
      <c r="Q45" s="152">
        <f t="shared" si="0"/>
        <v>5</v>
      </c>
      <c r="R45" s="152">
        <f t="shared" si="2"/>
        <v>4</v>
      </c>
      <c r="S45" s="152">
        <f t="shared" si="3"/>
        <v>0</v>
      </c>
      <c r="T45" s="152">
        <f t="shared" si="4"/>
        <v>1</v>
      </c>
      <c r="U45" s="152">
        <f>J13+L16+L20+J26+L30+L34+J37</f>
        <v>13</v>
      </c>
      <c r="V45" s="152">
        <f>L13+J16+J20+L26+J30+J34+L37</f>
        <v>2</v>
      </c>
      <c r="W45" s="152">
        <f>Q13+R16+R20+Q26+R30+R34+Q37</f>
        <v>5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5</v>
      </c>
      <c r="R46" s="152">
        <f t="shared" si="2"/>
        <v>3</v>
      </c>
      <c r="S46" s="152">
        <f t="shared" si="3"/>
        <v>2</v>
      </c>
      <c r="T46" s="152">
        <f t="shared" si="4"/>
        <v>0</v>
      </c>
      <c r="U46" s="152">
        <f>L13+J17+J22+J24+L27+L33+J36</f>
        <v>10</v>
      </c>
      <c r="V46" s="152">
        <f>J13+L17+L22+L24+J27+J33+L36</f>
        <v>6</v>
      </c>
      <c r="W46" s="152">
        <f>R13+Q17+Q22+Q24+R27+R33+Q36</f>
        <v>6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5</v>
      </c>
      <c r="R47" s="152">
        <f t="shared" si="2"/>
        <v>2</v>
      </c>
      <c r="S47" s="152">
        <f t="shared" si="3"/>
        <v>3</v>
      </c>
      <c r="T47" s="152">
        <f t="shared" si="4"/>
        <v>0</v>
      </c>
      <c r="U47" s="152">
        <f>J14+L17+L21+L25+J30+L32+J38</f>
        <v>6</v>
      </c>
      <c r="V47" s="152">
        <f>L14+J17+J21+J25+L30+J32+L38</f>
        <v>8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4</v>
      </c>
      <c r="Q48" s="152">
        <f t="shared" si="0"/>
        <v>6</v>
      </c>
      <c r="R48" s="152">
        <f t="shared" si="2"/>
        <v>1</v>
      </c>
      <c r="S48" s="152">
        <f t="shared" si="3"/>
        <v>4</v>
      </c>
      <c r="T48" s="152">
        <f t="shared" si="4"/>
        <v>1</v>
      </c>
      <c r="U48" s="152">
        <f>L14+J18+L22+L26+L28+J31+J35</f>
        <v>3</v>
      </c>
      <c r="V48" s="152">
        <f>J14+L18+J22+J26+J28+L31+L35</f>
        <v>13</v>
      </c>
      <c r="W48" s="152">
        <f>+R14+Q18+R22+R26+R28+Q31+Q35</f>
        <v>11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C0DA6-2131-4E06-BD6E-D1B34FACFE6A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0</v>
      </c>
      <c r="M27" s="126" t="str">
        <f>Scheids!$D$9</f>
        <v>Chris van Noordwijk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2</v>
      </c>
      <c r="K29" s="124" t="s">
        <v>294</v>
      </c>
      <c r="L29" s="125">
        <v>3</v>
      </c>
      <c r="M29" s="126" t="str">
        <f>Scheids!$D$9</f>
        <v>Chris van Noordwijk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0</v>
      </c>
      <c r="K30" s="124" t="s">
        <v>294</v>
      </c>
      <c r="L30" s="125">
        <v>4</v>
      </c>
      <c r="M30" s="126" t="str">
        <f>Scheids!$D$9</f>
        <v>Chris van Noordwijk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1</v>
      </c>
      <c r="T41" s="152">
        <f>COUNTIFS(E41:N41,1)</f>
        <v>0</v>
      </c>
      <c r="U41" s="152">
        <f>J11+L18+J21+J23+L29+J34+L36</f>
        <v>11</v>
      </c>
      <c r="V41" s="152">
        <f>L11+J18+L21+L23+J29+L34+J36</f>
        <v>5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8</v>
      </c>
      <c r="X42" s="129">
        <f t="shared" si="1"/>
        <v>6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5</v>
      </c>
      <c r="R43" s="152">
        <f t="shared" si="2"/>
        <v>2</v>
      </c>
      <c r="S43" s="152">
        <f t="shared" si="3"/>
        <v>3</v>
      </c>
      <c r="T43" s="152">
        <f t="shared" si="4"/>
        <v>0</v>
      </c>
      <c r="U43" s="152">
        <f>J12+L15+J20+L23+J27+J32+L35</f>
        <v>3</v>
      </c>
      <c r="V43" s="152">
        <f>L12+J15+L20+J23+L27+L32+J35</f>
        <v>14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16</v>
      </c>
      <c r="V44" s="152">
        <f>J12+L16+L19+J24+L29+J31+J38</f>
        <v>5</v>
      </c>
      <c r="W44" s="152">
        <f>R12+Q16+Q19+R24+Q29+R31+R38</f>
        <v>10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10</v>
      </c>
      <c r="Q45" s="152">
        <f t="shared" si="0"/>
        <v>4</v>
      </c>
      <c r="R45" s="152">
        <f t="shared" si="2"/>
        <v>3</v>
      </c>
      <c r="S45" s="152">
        <f t="shared" si="3"/>
        <v>0</v>
      </c>
      <c r="T45" s="152">
        <f t="shared" si="4"/>
        <v>1</v>
      </c>
      <c r="U45" s="152">
        <f>J13+L16+L20+J26+L30+L34+J37</f>
        <v>11</v>
      </c>
      <c r="V45" s="152">
        <f>L13+J16+J20+L26+J30+J34+L37</f>
        <v>1</v>
      </c>
      <c r="W45" s="152">
        <f>Q13+R16+R20+Q26+R30+R34+Q37</f>
        <v>8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4</v>
      </c>
      <c r="R46" s="152">
        <f t="shared" si="2"/>
        <v>0</v>
      </c>
      <c r="S46" s="152">
        <f t="shared" si="3"/>
        <v>4</v>
      </c>
      <c r="T46" s="152">
        <f t="shared" si="4"/>
        <v>0</v>
      </c>
      <c r="U46" s="152">
        <f>L13+J17+J22+J24+L27+L33+J36</f>
        <v>1</v>
      </c>
      <c r="V46" s="152">
        <f>J13+L17+L22+L24+J27+J33+L36</f>
        <v>8</v>
      </c>
      <c r="W46" s="152">
        <f>R13+Q17+Q22+Q24+R27+R33+Q36</f>
        <v>6</v>
      </c>
      <c r="X46" s="129">
        <f t="shared" si="1"/>
        <v>7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3</v>
      </c>
      <c r="V47" s="152">
        <f>L14+J17+J21+J25+L30+J32+L38</f>
        <v>7</v>
      </c>
      <c r="W47" s="152">
        <f>Q14+R17+R21+R25+Q30+R32+Q38</f>
        <v>8</v>
      </c>
      <c r="X47" s="129">
        <f t="shared" si="1"/>
        <v>4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3DC16-4565-4D55-9C80-F37D2F642D83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0</v>
      </c>
      <c r="K27" s="124" t="s">
        <v>294</v>
      </c>
      <c r="L27" s="125">
        <v>1</v>
      </c>
      <c r="M27" s="126" t="str">
        <f>Scheids!$D$10</f>
        <v>Dion Dingler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0</v>
      </c>
      <c r="K29" s="124" t="s">
        <v>294</v>
      </c>
      <c r="L29" s="125">
        <v>0</v>
      </c>
      <c r="M29" s="126" t="str">
        <f>Scheids!$D$10</f>
        <v>Dion Dingler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0</v>
      </c>
      <c r="K30" s="124" t="s">
        <v>294</v>
      </c>
      <c r="L30" s="125">
        <v>0</v>
      </c>
      <c r="M30" s="126" t="str">
        <f>Scheids!$D$10</f>
        <v>Dion Dingler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10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0</v>
      </c>
      <c r="T41" s="152">
        <f>COUNTIFS(E41:N41,1)</f>
        <v>1</v>
      </c>
      <c r="U41" s="152">
        <f>J11+L18+J21+J23+L29+J34+L36</f>
        <v>9</v>
      </c>
      <c r="V41" s="152">
        <f>L11+J18+L21+L23+J29+L34+J36</f>
        <v>0</v>
      </c>
      <c r="W41" s="152">
        <f>Q11+R18+Q21+Q23+R29+Q34+R36</f>
        <v>6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11</v>
      </c>
      <c r="V42" s="152">
        <f>J11+L15+J19+L25+L28+L33+J37</f>
        <v>2</v>
      </c>
      <c r="W42" s="152">
        <f>R11+Q15+R19+Q25+Q28+Q33+R37</f>
        <v>5</v>
      </c>
      <c r="X42" s="129">
        <f t="shared" si="1"/>
        <v>3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5</v>
      </c>
      <c r="R43" s="152">
        <f t="shared" si="2"/>
        <v>2</v>
      </c>
      <c r="S43" s="152">
        <f t="shared" si="3"/>
        <v>3</v>
      </c>
      <c r="T43" s="152">
        <f t="shared" si="4"/>
        <v>0</v>
      </c>
      <c r="U43" s="152">
        <f>J12+L15+J20+L23+J27+J32+L35</f>
        <v>6</v>
      </c>
      <c r="V43" s="152">
        <f>L12+J15+L20+J23+L27+L32+J35</f>
        <v>7</v>
      </c>
      <c r="W43" s="152">
        <f>Q12+R15+Q20+R23+Q27+Q32+R35</f>
        <v>7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5</v>
      </c>
      <c r="R44" s="152">
        <f t="shared" si="2"/>
        <v>1</v>
      </c>
      <c r="S44" s="152">
        <f t="shared" si="3"/>
        <v>3</v>
      </c>
      <c r="T44" s="152">
        <f t="shared" si="4"/>
        <v>1</v>
      </c>
      <c r="U44" s="152">
        <f>L12+J16+J19+L24+J29+L31+L38</f>
        <v>4</v>
      </c>
      <c r="V44" s="152">
        <f>J12+L16+L19+J24+L29+J31+J38</f>
        <v>8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4</v>
      </c>
      <c r="R45" s="152">
        <f t="shared" si="2"/>
        <v>0</v>
      </c>
      <c r="S45" s="152">
        <f t="shared" si="3"/>
        <v>3</v>
      </c>
      <c r="T45" s="152">
        <f t="shared" si="4"/>
        <v>1</v>
      </c>
      <c r="U45" s="152">
        <f>J13+L16+L20+J26+L30+L34+J37</f>
        <v>0</v>
      </c>
      <c r="V45" s="152">
        <f>L13+J16+J20+L26+J30+J34+L37</f>
        <v>11</v>
      </c>
      <c r="W45" s="152">
        <f>Q13+R16+R20+Q26+R30+R34+Q37</f>
        <v>6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13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4</v>
      </c>
      <c r="R47" s="152">
        <f t="shared" si="2"/>
        <v>0</v>
      </c>
      <c r="S47" s="152">
        <f t="shared" si="3"/>
        <v>3</v>
      </c>
      <c r="T47" s="152">
        <f t="shared" si="4"/>
        <v>1</v>
      </c>
      <c r="U47" s="152">
        <f>J14+L17+L21+L25+J30+L32+J38</f>
        <v>0</v>
      </c>
      <c r="V47" s="152">
        <f>L14+J17+J21+J25+L30+J32+L38</f>
        <v>15</v>
      </c>
      <c r="W47" s="152">
        <f>Q14+R17+R21+R25+Q30+R32+Q38</f>
        <v>5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2CD2F-0A02-423D-9243-D54EA088B405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2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2</v>
      </c>
      <c r="K29" s="124" t="s">
        <v>294</v>
      </c>
      <c r="L29" s="125">
        <v>0</v>
      </c>
      <c r="M29" s="126" t="str">
        <f>Scheids!$D$11</f>
        <v>Leo Boer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2</v>
      </c>
      <c r="K30" s="124" t="s">
        <v>294</v>
      </c>
      <c r="L30" s="125">
        <v>0</v>
      </c>
      <c r="M30" s="126" t="str">
        <f>Scheids!$D$11</f>
        <v>Leo Boer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9</v>
      </c>
      <c r="W41" s="152">
        <f>Q11+R18+Q21+Q23+R29+Q34+R36</f>
        <v>7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10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11</v>
      </c>
      <c r="V42" s="152">
        <f>J11+L15+J19+L25+L28+L33+J37</f>
        <v>3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1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5</v>
      </c>
      <c r="R43" s="152">
        <f t="shared" si="2"/>
        <v>2</v>
      </c>
      <c r="S43" s="152">
        <f t="shared" si="3"/>
        <v>0</v>
      </c>
      <c r="T43" s="152">
        <f t="shared" si="4"/>
        <v>3</v>
      </c>
      <c r="U43" s="152">
        <f>J12+L15+J20+L23+J27+J32+L35</f>
        <v>9</v>
      </c>
      <c r="V43" s="152">
        <f>L12+J15+L20+J23+L27+L32+J35</f>
        <v>4</v>
      </c>
      <c r="W43" s="152">
        <f>Q12+R15+Q20+R23+Q27+Q32+R35</f>
        <v>6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6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4</v>
      </c>
      <c r="R45" s="152">
        <f t="shared" si="2"/>
        <v>0</v>
      </c>
      <c r="S45" s="152">
        <f t="shared" si="3"/>
        <v>4</v>
      </c>
      <c r="T45" s="152">
        <f t="shared" si="4"/>
        <v>0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1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4</v>
      </c>
      <c r="R46" s="152">
        <f t="shared" si="2"/>
        <v>2</v>
      </c>
      <c r="S46" s="152">
        <f t="shared" si="3"/>
        <v>0</v>
      </c>
      <c r="T46" s="152">
        <f t="shared" si="4"/>
        <v>2</v>
      </c>
      <c r="U46" s="152">
        <f>L13+J17+J22+J24+L27+L33+J36</f>
        <v>6</v>
      </c>
      <c r="V46" s="152">
        <f>J13+L17+L22+L24+J27+J33+L36</f>
        <v>2</v>
      </c>
      <c r="W46" s="152">
        <f>R13+Q17+Q22+Q24+R27+R33+Q36</f>
        <v>5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4</v>
      </c>
      <c r="R47" s="152">
        <f t="shared" si="2"/>
        <v>1</v>
      </c>
      <c r="S47" s="152">
        <f t="shared" si="3"/>
        <v>1</v>
      </c>
      <c r="T47" s="152">
        <f t="shared" si="4"/>
        <v>2</v>
      </c>
      <c r="U47" s="152">
        <f>J14+L17+L21+L25+J30+L32+J38</f>
        <v>2</v>
      </c>
      <c r="V47" s="152">
        <f>L14+J17+J21+J25+L30+J32+L38</f>
        <v>3</v>
      </c>
      <c r="W47" s="152">
        <f>Q14+R17+R21+R25+Q30+R32+Q38</f>
        <v>8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1E843-9932-4B2A-B639-7A4C795B485C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4</v>
      </c>
      <c r="M26" s="126" t="str">
        <f>Scheids!$F$12</f>
        <v>Ton Haanappel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2</v>
      </c>
      <c r="K27" s="124" t="s">
        <v>294</v>
      </c>
      <c r="L27" s="125">
        <v>4</v>
      </c>
      <c r="M27" s="126" t="str">
        <f>Scheids!$F$12</f>
        <v>Ton Haanappel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0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0</v>
      </c>
      <c r="K29" s="124" t="s">
        <v>294</v>
      </c>
      <c r="L29" s="125">
        <v>0</v>
      </c>
      <c r="M29" s="126" t="str">
        <f>Scheids!$D$12</f>
        <v>Theo Dessens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5</v>
      </c>
      <c r="K30" s="124" t="s">
        <v>294</v>
      </c>
      <c r="L30" s="125">
        <v>1</v>
      </c>
      <c r="M30" s="126" t="str">
        <f>Scheids!$D$12</f>
        <v>Theo Dessens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3</v>
      </c>
      <c r="K31" s="124" t="s">
        <v>294</v>
      </c>
      <c r="L31" s="125">
        <v>0</v>
      </c>
      <c r="M31" s="126" t="str">
        <f>Scheids!$D$12</f>
        <v>Theo Dessens</v>
      </c>
      <c r="N31" s="127"/>
      <c r="O31" s="128"/>
      <c r="Q31" s="129">
        <v>1</v>
      </c>
      <c r="R31" s="129">
        <v>1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2</v>
      </c>
      <c r="Q41" s="152">
        <f t="shared" ref="Q41:Q48" si="0">COUNT(E41:N41)</f>
        <v>5</v>
      </c>
      <c r="R41" s="152">
        <f>COUNTIFS(E41:N41,3)</f>
        <v>0</v>
      </c>
      <c r="S41" s="152">
        <f>COUNTIFS(E41:N41,0)</f>
        <v>3</v>
      </c>
      <c r="T41" s="152">
        <f>COUNTIFS(E41:N41,1)</f>
        <v>2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6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5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6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5</v>
      </c>
      <c r="R43" s="152">
        <f t="shared" si="2"/>
        <v>4</v>
      </c>
      <c r="S43" s="152">
        <f t="shared" si="3"/>
        <v>1</v>
      </c>
      <c r="T43" s="152">
        <f t="shared" si="4"/>
        <v>0</v>
      </c>
      <c r="U43" s="152">
        <f>J12+L15+J20+L23+J27+J32+L35</f>
        <v>9</v>
      </c>
      <c r="V43" s="152">
        <f>L12+J15+L20+J23+L27+L32+J35</f>
        <v>4</v>
      </c>
      <c r="W43" s="152">
        <f>Q12+R15+Q20+R23+Q27+Q32+R35</f>
        <v>8</v>
      </c>
      <c r="X43" s="129">
        <f t="shared" si="1"/>
        <v>2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6</v>
      </c>
      <c r="R44" s="152">
        <f t="shared" si="2"/>
        <v>1</v>
      </c>
      <c r="S44" s="152">
        <f t="shared" si="3"/>
        <v>4</v>
      </c>
      <c r="T44" s="152">
        <f t="shared" si="4"/>
        <v>1</v>
      </c>
      <c r="U44" s="152">
        <f>L12+J16+J19+L24+J29+L31+L38</f>
        <v>1</v>
      </c>
      <c r="V44" s="152">
        <f>J12+L16+L19+J24+L29+J31+J38</f>
        <v>7</v>
      </c>
      <c r="W44" s="152">
        <f>R12+Q16+Q19+R24+Q29+R31+R38</f>
        <v>7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5</v>
      </c>
      <c r="R45" s="152">
        <f t="shared" si="2"/>
        <v>0</v>
      </c>
      <c r="S45" s="152">
        <f t="shared" si="3"/>
        <v>5</v>
      </c>
      <c r="T45" s="152">
        <f t="shared" si="4"/>
        <v>0</v>
      </c>
      <c r="U45" s="152">
        <f>J13+L16+L20+J26+L30+L34+J37</f>
        <v>2</v>
      </c>
      <c r="V45" s="152">
        <f>L13+J16+J20+L26+J30+J34+L37</f>
        <v>16</v>
      </c>
      <c r="W45" s="152">
        <f>Q13+R16+R20+Q26+R30+R34+Q37</f>
        <v>8</v>
      </c>
      <c r="X45" s="129">
        <f t="shared" si="1"/>
        <v>8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15</v>
      </c>
      <c r="Q46" s="152">
        <f t="shared" si="0"/>
        <v>5</v>
      </c>
      <c r="R46" s="152">
        <f t="shared" si="2"/>
        <v>5</v>
      </c>
      <c r="S46" s="152">
        <f t="shared" si="3"/>
        <v>0</v>
      </c>
      <c r="T46" s="152">
        <f t="shared" si="4"/>
        <v>0</v>
      </c>
      <c r="U46" s="152">
        <f>L13+J17+J22+J24+L27+L33+J36</f>
        <v>15</v>
      </c>
      <c r="V46" s="152">
        <f>J13+L17+L22+L24+J27+J33+L36</f>
        <v>2</v>
      </c>
      <c r="W46" s="152">
        <f>R13+Q17+Q22+Q24+R27+R33+Q36</f>
        <v>7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10</v>
      </c>
      <c r="Q47" s="152">
        <f t="shared" si="0"/>
        <v>5</v>
      </c>
      <c r="R47" s="152">
        <f t="shared" si="2"/>
        <v>3</v>
      </c>
      <c r="S47" s="152">
        <f t="shared" si="3"/>
        <v>1</v>
      </c>
      <c r="T47" s="152">
        <f t="shared" si="4"/>
        <v>1</v>
      </c>
      <c r="U47" s="152">
        <f>J14+L17+L21+L25+J30+L32+J38</f>
        <v>10</v>
      </c>
      <c r="V47" s="152">
        <f>L14+J17+J21+J25+L30+J32+L38</f>
        <v>4</v>
      </c>
      <c r="W47" s="152">
        <f>Q14+R17+R21+R25+Q30+R32+Q38</f>
        <v>7</v>
      </c>
      <c r="X47" s="129">
        <f t="shared" si="1"/>
        <v>4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12</v>
      </c>
      <c r="Q48" s="152">
        <f t="shared" si="0"/>
        <v>6</v>
      </c>
      <c r="R48" s="152">
        <f t="shared" si="2"/>
        <v>4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7</v>
      </c>
      <c r="W48" s="152">
        <f>+R14+Q18+R22+R26+R28+Q31+Q35</f>
        <v>10</v>
      </c>
      <c r="X48" s="129">
        <f t="shared" si="1"/>
        <v>2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8853A-22AC-453B-B0AE-F5D97748F2FB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0</v>
      </c>
      <c r="K26" s="124" t="s">
        <v>294</v>
      </c>
      <c r="L26" s="125">
        <v>1</v>
      </c>
      <c r="M26" s="126" t="str">
        <f>Scheids!$F$13</f>
        <v>Gennaro vd Kan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3</v>
      </c>
      <c r="K27" s="124" t="s">
        <v>294</v>
      </c>
      <c r="L27" s="125">
        <v>0</v>
      </c>
      <c r="M27" s="126" t="str">
        <f>Scheids!$F$13</f>
        <v>Gennaro vd Kan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0</v>
      </c>
      <c r="K28" s="124" t="s">
        <v>294</v>
      </c>
      <c r="L28" s="125">
        <v>3</v>
      </c>
      <c r="M28" s="126" t="str">
        <f>Scheids!$F$13</f>
        <v>Gennaro vd Kan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1</v>
      </c>
      <c r="M29" s="126" t="str">
        <f>Scheids!$D$13</f>
        <v>Ruud Bakas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1</v>
      </c>
      <c r="K30" s="124" t="s">
        <v>294</v>
      </c>
      <c r="L30" s="125">
        <v>4</v>
      </c>
      <c r="M30" s="126" t="str">
        <f>Scheids!$D$13</f>
        <v>Ruud Bakas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3</v>
      </c>
      <c r="K31" s="124" t="s">
        <v>294</v>
      </c>
      <c r="L31" s="125">
        <v>0</v>
      </c>
      <c r="M31" s="126" t="str">
        <f>Scheids!$D$13</f>
        <v>Ruud Bakas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5</v>
      </c>
      <c r="R41" s="152">
        <f>COUNTIFS(E41:N41,3)</f>
        <v>2</v>
      </c>
      <c r="S41" s="152">
        <f>COUNTIFS(E41:N41,0)</f>
        <v>2</v>
      </c>
      <c r="T41" s="152">
        <f>COUNTIFS(E41:N41,1)</f>
        <v>1</v>
      </c>
      <c r="U41" s="152">
        <f>J11+L18+J21+J23+L29+J34+L36</f>
        <v>4</v>
      </c>
      <c r="V41" s="152">
        <f>L11+J18+L21+L23+J29+L34+J36</f>
        <v>10</v>
      </c>
      <c r="W41" s="152">
        <f>Q11+R18+Q21+Q23+R29+Q34+R36</f>
        <v>9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10</v>
      </c>
      <c r="W42" s="152">
        <f>R11+Q15+R19+Q25+Q28+Q33+R37</f>
        <v>9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5</v>
      </c>
      <c r="R43" s="152">
        <f t="shared" si="2"/>
        <v>4</v>
      </c>
      <c r="S43" s="152">
        <f t="shared" si="3"/>
        <v>1</v>
      </c>
      <c r="T43" s="152">
        <f t="shared" si="4"/>
        <v>0</v>
      </c>
      <c r="U43" s="152">
        <f>J12+L15+J20+L23+J27+J32+L35</f>
        <v>16</v>
      </c>
      <c r="V43" s="152">
        <f>L12+J15+L20+J23+L27+L32+J35</f>
        <v>2</v>
      </c>
      <c r="W43" s="152">
        <f>Q12+R15+Q20+R23+Q27+Q32+R35</f>
        <v>7</v>
      </c>
      <c r="X43" s="129">
        <f t="shared" si="1"/>
        <v>2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2</v>
      </c>
      <c r="Q44" s="152">
        <f t="shared" si="0"/>
        <v>6</v>
      </c>
      <c r="R44" s="152">
        <f t="shared" si="2"/>
        <v>0</v>
      </c>
      <c r="S44" s="152">
        <f t="shared" si="3"/>
        <v>4</v>
      </c>
      <c r="T44" s="152">
        <f t="shared" si="4"/>
        <v>2</v>
      </c>
      <c r="U44" s="152">
        <f>L12+J16+J19+L24+J29+L31+L38</f>
        <v>1</v>
      </c>
      <c r="V44" s="152">
        <f>J12+L16+L19+J24+L29+J31+J38</f>
        <v>11</v>
      </c>
      <c r="W44" s="152">
        <f>R12+Q16+Q19+R24+Q29+R31+R38</f>
        <v>11</v>
      </c>
      <c r="X44" s="129">
        <f t="shared" si="1"/>
        <v>8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10</v>
      </c>
      <c r="Q45" s="152">
        <f t="shared" si="0"/>
        <v>5</v>
      </c>
      <c r="R45" s="152">
        <f t="shared" si="2"/>
        <v>3</v>
      </c>
      <c r="S45" s="152">
        <f t="shared" si="3"/>
        <v>1</v>
      </c>
      <c r="T45" s="152">
        <f t="shared" si="4"/>
        <v>1</v>
      </c>
      <c r="U45" s="152">
        <f>J13+L16+L20+J26+L30+L34+J37</f>
        <v>9</v>
      </c>
      <c r="V45" s="152">
        <f>L13+J16+J20+L26+J30+J34+L37</f>
        <v>2</v>
      </c>
      <c r="W45" s="152">
        <f>Q13+R16+R20+Q26+R30+R34+Q37</f>
        <v>9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5</v>
      </c>
      <c r="R46" s="152">
        <f t="shared" si="2"/>
        <v>1</v>
      </c>
      <c r="S46" s="152">
        <f t="shared" si="3"/>
        <v>3</v>
      </c>
      <c r="T46" s="152">
        <f t="shared" si="4"/>
        <v>1</v>
      </c>
      <c r="U46" s="152">
        <f>L13+J17+J22+J24+L27+L33+J36</f>
        <v>4</v>
      </c>
      <c r="V46" s="152">
        <f>J13+L17+L22+L24+J27+J33+L36</f>
        <v>8</v>
      </c>
      <c r="W46" s="152">
        <f>R13+Q17+Q22+Q24+R27+R33+Q36</f>
        <v>8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5</v>
      </c>
      <c r="R47" s="152">
        <f t="shared" si="2"/>
        <v>1</v>
      </c>
      <c r="S47" s="152">
        <f t="shared" si="3"/>
        <v>3</v>
      </c>
      <c r="T47" s="152">
        <f t="shared" si="4"/>
        <v>1</v>
      </c>
      <c r="U47" s="152">
        <f>J14+L17+L21+L25+J30+L32+J38</f>
        <v>4</v>
      </c>
      <c r="V47" s="152">
        <f>L14+J17+J21+J25+L30+J32+L38</f>
        <v>9</v>
      </c>
      <c r="W47" s="152">
        <f>Q14+R17+R21+R25+Q30+R32+Q38</f>
        <v>8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18</v>
      </c>
      <c r="Q48" s="152">
        <f t="shared" si="0"/>
        <v>6</v>
      </c>
      <c r="R48" s="152">
        <f t="shared" si="2"/>
        <v>6</v>
      </c>
      <c r="S48" s="152">
        <f t="shared" si="3"/>
        <v>0</v>
      </c>
      <c r="T48" s="152">
        <f t="shared" si="4"/>
        <v>0</v>
      </c>
      <c r="U48" s="152">
        <f>L14+J18+L22+L26+L28+J31+J35</f>
        <v>15</v>
      </c>
      <c r="V48" s="152">
        <f>J14+L18+J22+J26+J28+L31+L35</f>
        <v>2</v>
      </c>
      <c r="W48" s="152">
        <f>+R14+Q18+R22+R26+R28+Q31+Q35</f>
        <v>11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ED8D6-1BA9-48C4-A6AD-DB103C13B093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0</v>
      </c>
      <c r="K21" s="124" t="s">
        <v>294</v>
      </c>
      <c r="L21" s="125">
        <v>1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0</v>
      </c>
      <c r="K26" s="124" t="s">
        <v>294</v>
      </c>
      <c r="L26" s="125">
        <v>4</v>
      </c>
      <c r="M26" s="126" t="str">
        <f>Scheids!$F$14</f>
        <v>Jack Altena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0</v>
      </c>
      <c r="K27" s="124" t="s">
        <v>294</v>
      </c>
      <c r="L27" s="125">
        <v>1</v>
      </c>
      <c r="M27" s="126" t="str">
        <f>Scheids!$F$14</f>
        <v>Jack Altena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0</v>
      </c>
      <c r="K28" s="124" t="s">
        <v>294</v>
      </c>
      <c r="L28" s="125">
        <v>3</v>
      </c>
      <c r="M28" s="126" t="str">
        <f>Scheids!$F$14</f>
        <v>Jack Altena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0</v>
      </c>
      <c r="K29" s="124" t="s">
        <v>294</v>
      </c>
      <c r="L29" s="125">
        <v>0</v>
      </c>
      <c r="M29" s="126" t="str">
        <f>Scheids!$D$14</f>
        <v>Rob Staakman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1</v>
      </c>
      <c r="K30" s="124" t="s">
        <v>294</v>
      </c>
      <c r="L30" s="125">
        <v>0</v>
      </c>
      <c r="M30" s="126" t="str">
        <f>Scheids!$D$14</f>
        <v>Rob Staakman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3</v>
      </c>
      <c r="K31" s="124" t="s">
        <v>294</v>
      </c>
      <c r="L31" s="125">
        <v>0</v>
      </c>
      <c r="M31" s="126" t="str">
        <f>Scheids!$D$14</f>
        <v>Rob Staakman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5</v>
      </c>
      <c r="R41" s="152">
        <f>COUNTIFS(E41:N41,3)</f>
        <v>2</v>
      </c>
      <c r="S41" s="152">
        <f>COUNTIFS(E41:N41,0)</f>
        <v>2</v>
      </c>
      <c r="T41" s="152">
        <f>COUNTIFS(E41:N41,1)</f>
        <v>1</v>
      </c>
      <c r="U41" s="152">
        <f>J11+L18+J21+J23+L29+J34+L36</f>
        <v>5</v>
      </c>
      <c r="V41" s="152">
        <f>L11+J18+L21+L23+J29+L34+J36</f>
        <v>6</v>
      </c>
      <c r="W41" s="152">
        <f>Q11+R18+Q21+Q23+R29+Q34+R36</f>
        <v>7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5</v>
      </c>
      <c r="R42" s="152">
        <f t="shared" ref="R42:R48" si="2">COUNTIFS(E42:N42,3)</f>
        <v>0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15</v>
      </c>
      <c r="W42" s="152">
        <f>R11+Q15+R19+Q25+Q28+Q33+R37</f>
        <v>5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5</v>
      </c>
      <c r="R43" s="152">
        <f t="shared" si="2"/>
        <v>1</v>
      </c>
      <c r="S43" s="152">
        <f t="shared" si="3"/>
        <v>3</v>
      </c>
      <c r="T43" s="152">
        <f t="shared" si="4"/>
        <v>1</v>
      </c>
      <c r="U43" s="152">
        <f>J12+L15+J20+L23+J27+J32+L35</f>
        <v>4</v>
      </c>
      <c r="V43" s="152">
        <f>L12+J15+L20+J23+L27+L32+J35</f>
        <v>4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3</v>
      </c>
      <c r="W44" s="152">
        <f>R12+Q16+Q19+R24+Q29+R31+R38</f>
        <v>10</v>
      </c>
      <c r="X44" s="129">
        <f t="shared" si="1"/>
        <v>2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5</v>
      </c>
      <c r="R45" s="152">
        <f t="shared" si="2"/>
        <v>0</v>
      </c>
      <c r="S45" s="152">
        <f t="shared" si="3"/>
        <v>4</v>
      </c>
      <c r="T45" s="152">
        <f t="shared" si="4"/>
        <v>1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8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5</v>
      </c>
      <c r="R46" s="152">
        <f t="shared" si="2"/>
        <v>2</v>
      </c>
      <c r="S46" s="152">
        <f t="shared" si="3"/>
        <v>3</v>
      </c>
      <c r="T46" s="152">
        <f t="shared" si="4"/>
        <v>0</v>
      </c>
      <c r="U46" s="152">
        <f>L13+J17+J22+J24+L27+L33+J36</f>
        <v>2</v>
      </c>
      <c r="V46" s="152">
        <f>J13+L17+L22+L24+J27+J33+L36</f>
        <v>3</v>
      </c>
      <c r="W46" s="152">
        <f>R13+Q17+Q22+Q24+R27+R33+Q36</f>
        <v>9</v>
      </c>
      <c r="X46" s="129">
        <f t="shared" si="1"/>
        <v>5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5</v>
      </c>
      <c r="R47" s="152">
        <f t="shared" si="2"/>
        <v>4</v>
      </c>
      <c r="S47" s="152">
        <f t="shared" si="3"/>
        <v>1</v>
      </c>
      <c r="T47" s="152">
        <f t="shared" si="4"/>
        <v>0</v>
      </c>
      <c r="U47" s="152">
        <f>J14+L17+L21+L25+J30+L32+J38</f>
        <v>6</v>
      </c>
      <c r="V47" s="152">
        <f>L14+J17+J21+J25+L30+J32+L38</f>
        <v>2</v>
      </c>
      <c r="W47" s="152">
        <f>Q14+R17+R21+R25+Q30+R32+Q38</f>
        <v>10</v>
      </c>
      <c r="X47" s="129">
        <f t="shared" si="1"/>
        <v>3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18</v>
      </c>
      <c r="Q48" s="152">
        <f t="shared" si="0"/>
        <v>6</v>
      </c>
      <c r="R48" s="152">
        <f t="shared" si="2"/>
        <v>6</v>
      </c>
      <c r="S48" s="152">
        <f t="shared" si="3"/>
        <v>0</v>
      </c>
      <c r="T48" s="152">
        <f t="shared" si="4"/>
        <v>0</v>
      </c>
      <c r="U48" s="152">
        <f>L14+J18+L22+L26+L28+J31+J35</f>
        <v>17</v>
      </c>
      <c r="V48" s="152">
        <f>J14+L18+J22+J26+J28+L31+L35</f>
        <v>0</v>
      </c>
      <c r="W48" s="152">
        <f>+R14+Q18+R22+R26+R28+Q31+Q35</f>
        <v>11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FC0E-A757-4D2C-ABBF-62F5617D06FA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0</v>
      </c>
      <c r="M26" s="126" t="str">
        <f>Scheids!$F$15</f>
        <v>Anita Schouten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0</v>
      </c>
      <c r="M27" s="126" t="str">
        <f>Scheids!$F$15</f>
        <v>Anita Schouten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0</v>
      </c>
      <c r="K28" s="124" t="s">
        <v>294</v>
      </c>
      <c r="L28" s="125">
        <v>0</v>
      </c>
      <c r="M28" s="126" t="str">
        <f>Scheids!$F$15</f>
        <v>Anita Schouten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1</v>
      </c>
      <c r="M29" s="126" t="str">
        <f>Scheids!$D$15</f>
        <v>Rien Beenen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0</v>
      </c>
      <c r="K30" s="124" t="s">
        <v>294</v>
      </c>
      <c r="L30" s="125">
        <v>0</v>
      </c>
      <c r="M30" s="126" t="str">
        <f>Scheids!$D$15</f>
        <v>Rien Beenen</v>
      </c>
      <c r="N30" s="127"/>
      <c r="O30" s="128"/>
      <c r="Q30" s="129">
        <v>1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0</v>
      </c>
      <c r="K31" s="124" t="s">
        <v>294</v>
      </c>
      <c r="L31" s="125">
        <v>5</v>
      </c>
      <c r="M31" s="126" t="str">
        <f>Scheids!$D$15</f>
        <v>Rien Beenen</v>
      </c>
      <c r="N31" s="127"/>
      <c r="O31" s="128"/>
      <c r="Q31" s="129">
        <v>0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13</v>
      </c>
      <c r="Q41" s="152">
        <f t="shared" ref="Q41:Q48" si="0">COUNT(E41:N41)</f>
        <v>5</v>
      </c>
      <c r="R41" s="152">
        <f>COUNTIFS(E41:N41,3)</f>
        <v>4</v>
      </c>
      <c r="S41" s="152">
        <f>COUNTIFS(E41:N41,0)</f>
        <v>0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</v>
      </c>
      <c r="W41" s="152">
        <f>Q11+R18+Q21+Q23+R29+Q34+R36</f>
        <v>10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1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5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9</v>
      </c>
      <c r="X42" s="129">
        <f t="shared" si="1"/>
        <v>6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5</v>
      </c>
      <c r="R43" s="152">
        <f t="shared" si="2"/>
        <v>2</v>
      </c>
      <c r="S43" s="152">
        <f t="shared" si="3"/>
        <v>2</v>
      </c>
      <c r="T43" s="152">
        <f t="shared" si="4"/>
        <v>1</v>
      </c>
      <c r="U43" s="152">
        <f>J12+L15+J20+L23+J27+J32+L35</f>
        <v>2</v>
      </c>
      <c r="V43" s="152">
        <f>L12+J15+L20+J23+L27+L32+J35</f>
        <v>3</v>
      </c>
      <c r="W43" s="152">
        <f>Q12+R15+Q20+R23+Q27+Q32+R35</f>
        <v>6</v>
      </c>
      <c r="X43" s="129">
        <f t="shared" si="1"/>
        <v>4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3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5</v>
      </c>
      <c r="Q44" s="152">
        <f t="shared" si="0"/>
        <v>6</v>
      </c>
      <c r="R44" s="152">
        <f t="shared" si="2"/>
        <v>1</v>
      </c>
      <c r="S44" s="152">
        <f t="shared" si="3"/>
        <v>3</v>
      </c>
      <c r="T44" s="152">
        <f t="shared" si="4"/>
        <v>2</v>
      </c>
      <c r="U44" s="152">
        <f>L12+J16+J19+L24+J29+L31+L38</f>
        <v>7</v>
      </c>
      <c r="V44" s="152">
        <f>J12+L16+L19+J24+L29+J31+J38</f>
        <v>6</v>
      </c>
      <c r="W44" s="152">
        <f>R12+Q16+Q19+R24+Q29+R31+R38</f>
        <v>12</v>
      </c>
      <c r="X44" s="129">
        <f t="shared" si="1"/>
        <v>6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5</v>
      </c>
      <c r="R45" s="152">
        <f t="shared" si="2"/>
        <v>2</v>
      </c>
      <c r="S45" s="152">
        <f t="shared" si="3"/>
        <v>0</v>
      </c>
      <c r="T45" s="152">
        <f t="shared" si="4"/>
        <v>3</v>
      </c>
      <c r="U45" s="152">
        <f>J13+L16+L20+J26+L30+L34+J37</f>
        <v>2</v>
      </c>
      <c r="V45" s="152">
        <f>L13+J16+J20+L26+J30+J34+L37</f>
        <v>0</v>
      </c>
      <c r="W45" s="152">
        <f>Q13+R16+R20+Q26+R30+R34+Q37</f>
        <v>9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5</v>
      </c>
      <c r="R46" s="152">
        <f t="shared" si="2"/>
        <v>2</v>
      </c>
      <c r="S46" s="152">
        <f t="shared" si="3"/>
        <v>1</v>
      </c>
      <c r="T46" s="152">
        <f t="shared" si="4"/>
        <v>2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7</v>
      </c>
      <c r="Q47" s="152">
        <f t="shared" si="0"/>
        <v>5</v>
      </c>
      <c r="R47" s="152">
        <f t="shared" si="2"/>
        <v>2</v>
      </c>
      <c r="S47" s="152">
        <f t="shared" si="3"/>
        <v>2</v>
      </c>
      <c r="T47" s="152">
        <f t="shared" si="4"/>
        <v>1</v>
      </c>
      <c r="U47" s="152">
        <f>J14+L17+L21+L25+J30+L32+J38</f>
        <v>2</v>
      </c>
      <c r="V47" s="152">
        <f>L14+J17+J21+J25+L30+J32+L38</f>
        <v>2</v>
      </c>
      <c r="W47" s="152">
        <f>Q14+R17+R21+R25+Q30+R32+Q38</f>
        <v>7</v>
      </c>
      <c r="X47" s="129">
        <f t="shared" si="1"/>
        <v>4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1</v>
      </c>
      <c r="L48" s="141"/>
      <c r="M48" s="142">
        <f>IF(AND($J$31&lt;&gt;"",$L$31&lt;&gt;""),IF($J$31&gt;$L$31,3,IF($J$31=$L$31,1,0)),"")</f>
        <v>0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2</v>
      </c>
      <c r="Q48" s="152">
        <f t="shared" si="0"/>
        <v>6</v>
      </c>
      <c r="R48" s="152">
        <f t="shared" si="2"/>
        <v>0</v>
      </c>
      <c r="S48" s="152">
        <f t="shared" si="3"/>
        <v>4</v>
      </c>
      <c r="T48" s="152">
        <f t="shared" si="4"/>
        <v>2</v>
      </c>
      <c r="U48" s="152">
        <f>L14+J18+L22+L26+L28+J31+J35</f>
        <v>0</v>
      </c>
      <c r="V48" s="152">
        <f>J14+L18+J22+J26+J28+L31+L35</f>
        <v>11</v>
      </c>
      <c r="W48" s="152">
        <f>+R14+Q18+R22+R26+R28+Q31+Q35</f>
        <v>8</v>
      </c>
      <c r="X48" s="129">
        <f t="shared" si="1"/>
        <v>8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5BDE-7BF9-4D73-9A41-E02ABBBC03A4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0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0</v>
      </c>
      <c r="M29" s="126" t="str">
        <f>Scheids!$D$16</f>
        <v>Diana Schouten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0</v>
      </c>
      <c r="K30" s="124" t="s">
        <v>294</v>
      </c>
      <c r="L30" s="125">
        <v>4</v>
      </c>
      <c r="M30" s="126" t="str">
        <f>Scheids!$D$16</f>
        <v>Diana Schouten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10</v>
      </c>
      <c r="W41" s="152">
        <f>Q11+R18+Q21+Q23+R29+Q34+R36</f>
        <v>5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4</v>
      </c>
      <c r="R42" s="152">
        <f t="shared" ref="R42:R48" si="2">COUNTIFS(E42:N42,3)</f>
        <v>4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12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5</v>
      </c>
      <c r="R43" s="152">
        <f t="shared" si="2"/>
        <v>0</v>
      </c>
      <c r="S43" s="152">
        <f t="shared" si="3"/>
        <v>4</v>
      </c>
      <c r="T43" s="152">
        <f t="shared" si="4"/>
        <v>1</v>
      </c>
      <c r="U43" s="152">
        <f>J12+L15+J20+L23+J27+J32+L35</f>
        <v>1</v>
      </c>
      <c r="V43" s="152">
        <f>L12+J15+L20+J23+L27+L32+J35</f>
        <v>12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5</v>
      </c>
      <c r="R44" s="152">
        <f t="shared" si="2"/>
        <v>3</v>
      </c>
      <c r="S44" s="152">
        <f t="shared" si="3"/>
        <v>2</v>
      </c>
      <c r="T44" s="152">
        <f t="shared" si="4"/>
        <v>0</v>
      </c>
      <c r="U44" s="152">
        <f>L12+J16+J19+L24+J29+L31+L38</f>
        <v>7</v>
      </c>
      <c r="V44" s="152">
        <f>J12+L16+L19+J24+L29+J31+J38</f>
        <v>2</v>
      </c>
      <c r="W44" s="152">
        <f>R12+Q16+Q19+R24+Q29+R31+R38</f>
        <v>9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12</v>
      </c>
      <c r="Q45" s="152">
        <f t="shared" si="0"/>
        <v>4</v>
      </c>
      <c r="R45" s="152">
        <f t="shared" si="2"/>
        <v>4</v>
      </c>
      <c r="S45" s="152">
        <f t="shared" si="3"/>
        <v>0</v>
      </c>
      <c r="T45" s="152">
        <f t="shared" si="4"/>
        <v>0</v>
      </c>
      <c r="U45" s="152">
        <f>J13+L16+L20+J26+L30+L34+J37</f>
        <v>14</v>
      </c>
      <c r="V45" s="152">
        <f>L13+J16+J20+L26+J30+J34+L37</f>
        <v>0</v>
      </c>
      <c r="W45" s="152">
        <f>Q13+R16+R20+Q26+R30+R34+Q37</f>
        <v>6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5</v>
      </c>
      <c r="V46" s="152">
        <f>J13+L17+L22+L24+J27+J33+L36</f>
        <v>11</v>
      </c>
      <c r="W46" s="152">
        <f>R13+Q17+Q22+Q24+R27+R33+Q36</f>
        <v>7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4</v>
      </c>
      <c r="R47" s="152">
        <f t="shared" si="2"/>
        <v>1</v>
      </c>
      <c r="S47" s="152">
        <f t="shared" si="3"/>
        <v>3</v>
      </c>
      <c r="T47" s="152">
        <f t="shared" si="4"/>
        <v>0</v>
      </c>
      <c r="U47" s="152">
        <f>J14+L17+L21+L25+J30+L32+J38</f>
        <v>4</v>
      </c>
      <c r="V47" s="152">
        <f>L14+J17+J21+J25+L30+J32+L38</f>
        <v>9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E9B15-8B83-4DD0-9397-67B5127BBFDF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0</v>
      </c>
      <c r="K27" s="124" t="s">
        <v>294</v>
      </c>
      <c r="L27" s="125">
        <v>4</v>
      </c>
      <c r="M27" s="126" t="str">
        <f>Scheids!$D$17</f>
        <v>Patrick vd Helm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3</v>
      </c>
      <c r="K29" s="124" t="s">
        <v>294</v>
      </c>
      <c r="L29" s="125">
        <v>0</v>
      </c>
      <c r="M29" s="126" t="str">
        <f>Scheids!$D$17</f>
        <v>Patrick vd Helm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0</v>
      </c>
      <c r="M30" s="126" t="str">
        <f>Scheids!$D$17</f>
        <v>Patrick vd Helm</v>
      </c>
      <c r="N30" s="127"/>
      <c r="O30" s="128"/>
      <c r="Q30" s="129">
        <v>2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7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9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5</v>
      </c>
      <c r="R43" s="152">
        <f t="shared" si="2"/>
        <v>1</v>
      </c>
      <c r="S43" s="152">
        <f t="shared" si="3"/>
        <v>3</v>
      </c>
      <c r="T43" s="152">
        <f t="shared" si="4"/>
        <v>1</v>
      </c>
      <c r="U43" s="152">
        <f>J12+L15+J20+L23+J27+J32+L35</f>
        <v>3</v>
      </c>
      <c r="V43" s="152">
        <f>L12+J15+L20+J23+L27+L32+J35</f>
        <v>8</v>
      </c>
      <c r="W43" s="152">
        <f>Q12+R15+Q20+R23+Q27+Q32+R35</f>
        <v>8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4</v>
      </c>
      <c r="W44" s="152">
        <f>R12+Q16+Q19+R24+Q29+R31+R38</f>
        <v>10</v>
      </c>
      <c r="X44" s="129">
        <f t="shared" si="1"/>
        <v>2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4</v>
      </c>
      <c r="R45" s="152">
        <f t="shared" si="2"/>
        <v>1</v>
      </c>
      <c r="S45" s="152">
        <f t="shared" si="3"/>
        <v>2</v>
      </c>
      <c r="T45" s="152">
        <f t="shared" si="4"/>
        <v>1</v>
      </c>
      <c r="U45" s="152">
        <f>J13+L16+L20+J26+L30+L34+J37</f>
        <v>2</v>
      </c>
      <c r="V45" s="152">
        <f>L13+J16+J20+L26+J30+J34+L37</f>
        <v>5</v>
      </c>
      <c r="W45" s="152">
        <f>Q13+R16+R20+Q26+R30+R34+Q37</f>
        <v>6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12</v>
      </c>
      <c r="V46" s="152">
        <f>J13+L17+L22+L24+J27+J33+L36</f>
        <v>0</v>
      </c>
      <c r="W46" s="152">
        <f>R13+Q17+Q22+Q24+R27+R33+Q36</f>
        <v>8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4</v>
      </c>
      <c r="R47" s="152">
        <f t="shared" si="2"/>
        <v>3</v>
      </c>
      <c r="S47" s="152">
        <f t="shared" si="3"/>
        <v>1</v>
      </c>
      <c r="T47" s="152">
        <f t="shared" si="4"/>
        <v>0</v>
      </c>
      <c r="U47" s="152">
        <f>J14+L17+L21+L25+J30+L32+J38</f>
        <v>10</v>
      </c>
      <c r="V47" s="152">
        <f>L14+J17+J21+J25+L30+J32+L38</f>
        <v>3</v>
      </c>
      <c r="W47" s="152">
        <f>Q14+R17+R21+R25+Q30+R32+Q38</f>
        <v>8</v>
      </c>
      <c r="X47" s="129">
        <f t="shared" si="1"/>
        <v>3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0920F-B96E-41A7-A674-42E13AF30BA8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0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1</v>
      </c>
      <c r="M29" s="126" t="str">
        <f>Scheids!$D$18</f>
        <v>Martin van Blitterswijk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3</v>
      </c>
      <c r="K30" s="124" t="s">
        <v>294</v>
      </c>
      <c r="L30" s="125">
        <v>0</v>
      </c>
      <c r="M30" s="126" t="str">
        <f>Scheids!$D$18</f>
        <v>Martin van Blitterswijk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4</v>
      </c>
      <c r="R41" s="152">
        <f>COUNTIFS(E41:N41,3)</f>
        <v>2</v>
      </c>
      <c r="S41" s="152">
        <f>COUNTIFS(E41:N41,0)</f>
        <v>1</v>
      </c>
      <c r="T41" s="152">
        <f>COUNTIFS(E41:N41,1)</f>
        <v>1</v>
      </c>
      <c r="U41" s="152">
        <f>J11+L18+J21+J23+L29+J34+L36</f>
        <v>6</v>
      </c>
      <c r="V41" s="152">
        <f>L11+J18+L21+L23+J29+L34+J36</f>
        <v>3</v>
      </c>
      <c r="W41" s="152">
        <f>Q11+R18+Q21+Q23+R29+Q34+R36</f>
        <v>4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8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5</v>
      </c>
      <c r="R43" s="152">
        <f t="shared" si="2"/>
        <v>0</v>
      </c>
      <c r="S43" s="152">
        <f t="shared" si="3"/>
        <v>5</v>
      </c>
      <c r="T43" s="152">
        <f t="shared" si="4"/>
        <v>0</v>
      </c>
      <c r="U43" s="152">
        <f>J12+L15+J20+L23+J27+J32+L35</f>
        <v>0</v>
      </c>
      <c r="V43" s="152">
        <f>L12+J15+L20+J23+L27+L32+J35</f>
        <v>9</v>
      </c>
      <c r="W43" s="152">
        <f>Q12+R15+Q20+R23+Q27+Q32+R35</f>
        <v>6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2</v>
      </c>
      <c r="W44" s="152">
        <f>R12+Q16+Q19+R24+Q29+R31+R38</f>
        <v>6</v>
      </c>
      <c r="X44" s="129">
        <f t="shared" si="1"/>
        <v>2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4</v>
      </c>
      <c r="R45" s="152">
        <f t="shared" si="2"/>
        <v>2</v>
      </c>
      <c r="S45" s="152">
        <f t="shared" si="3"/>
        <v>2</v>
      </c>
      <c r="T45" s="152">
        <f t="shared" si="4"/>
        <v>0</v>
      </c>
      <c r="U45" s="152">
        <f>J13+L16+L20+J26+L30+L34+J37</f>
        <v>3</v>
      </c>
      <c r="V45" s="152">
        <f>L13+J16+J20+L26+J30+J34+L37</f>
        <v>4</v>
      </c>
      <c r="W45" s="152">
        <f>Q13+R16+R20+Q26+R30+R34+Q37</f>
        <v>5</v>
      </c>
      <c r="X45" s="129">
        <f t="shared" si="1"/>
        <v>4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4</v>
      </c>
      <c r="V46" s="152">
        <f>J13+L17+L22+L24+J27+J33+L36</f>
        <v>4</v>
      </c>
      <c r="W46" s="152">
        <f>R13+Q17+Q22+Q24+R27+R33+Q36</f>
        <v>4</v>
      </c>
      <c r="X46" s="129">
        <f t="shared" si="1"/>
        <v>4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4</v>
      </c>
      <c r="R47" s="152">
        <f t="shared" si="2"/>
        <v>4</v>
      </c>
      <c r="S47" s="152">
        <f t="shared" si="3"/>
        <v>0</v>
      </c>
      <c r="T47" s="152">
        <f t="shared" si="4"/>
        <v>0</v>
      </c>
      <c r="U47" s="152">
        <f>J14+L17+L21+L25+J30+L32+J38</f>
        <v>11</v>
      </c>
      <c r="V47" s="152">
        <f>L14+J17+J21+J25+L30+J32+L38</f>
        <v>1</v>
      </c>
      <c r="W47" s="152">
        <f>Q14+R17+R21+R25+Q30+R32+Q38</f>
        <v>5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7685-19AE-4D46-AF50-E4298C5A879D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0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0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0</v>
      </c>
      <c r="K30" s="124" t="s">
        <v>294</v>
      </c>
      <c r="L30" s="125">
        <v>0</v>
      </c>
      <c r="M30" s="126" t="str">
        <f>Scheids!$D$19</f>
        <v>John Kortekaas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12</v>
      </c>
      <c r="Q41" s="152">
        <f t="shared" ref="Q41:Q48" si="0">COUNT(E41:N41)</f>
        <v>4</v>
      </c>
      <c r="R41" s="152">
        <f>COUNTIFS(E41:N41,3)</f>
        <v>4</v>
      </c>
      <c r="S41" s="152">
        <f>COUNTIFS(E41:N41,0)</f>
        <v>0</v>
      </c>
      <c r="T41" s="152">
        <f>COUNTIFS(E41:N41,1)</f>
        <v>0</v>
      </c>
      <c r="U41" s="152">
        <f>J11+L18+J21+J23+L29+J34+L36</f>
        <v>9</v>
      </c>
      <c r="V41" s="152">
        <f>L11+J18+L21+L23+J29+L34+J36</f>
        <v>1</v>
      </c>
      <c r="W41" s="152">
        <f>Q11+R18+Q21+Q23+R29+Q34+R36</f>
        <v>8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5</v>
      </c>
      <c r="R43" s="152">
        <f t="shared" si="2"/>
        <v>0</v>
      </c>
      <c r="S43" s="152">
        <f t="shared" si="3"/>
        <v>4</v>
      </c>
      <c r="T43" s="152">
        <f t="shared" si="4"/>
        <v>1</v>
      </c>
      <c r="U43" s="152">
        <f>J12+L15+J20+L23+J27+J32+L35</f>
        <v>0</v>
      </c>
      <c r="V43" s="152">
        <f>L12+J15+L20+J23+L27+L32+J35</f>
        <v>11</v>
      </c>
      <c r="W43" s="152">
        <f>Q12+R15+Q20+R23+Q27+Q32+R35</f>
        <v>8</v>
      </c>
      <c r="X43" s="129">
        <f t="shared" si="1"/>
        <v>7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5</v>
      </c>
      <c r="R44" s="152">
        <f t="shared" si="2"/>
        <v>4</v>
      </c>
      <c r="S44" s="152">
        <f t="shared" si="3"/>
        <v>1</v>
      </c>
      <c r="T44" s="152">
        <f t="shared" si="4"/>
        <v>0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9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4</v>
      </c>
      <c r="R45" s="152">
        <f t="shared" si="2"/>
        <v>0</v>
      </c>
      <c r="S45" s="152">
        <f t="shared" si="3"/>
        <v>2</v>
      </c>
      <c r="T45" s="152">
        <f t="shared" si="4"/>
        <v>2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7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7</v>
      </c>
      <c r="Q46" s="152">
        <f t="shared" si="0"/>
        <v>4</v>
      </c>
      <c r="R46" s="152">
        <f t="shared" si="2"/>
        <v>2</v>
      </c>
      <c r="S46" s="152">
        <f t="shared" si="3"/>
        <v>1</v>
      </c>
      <c r="T46" s="152">
        <f t="shared" si="4"/>
        <v>1</v>
      </c>
      <c r="U46" s="152">
        <f>L13+J17+J22+J24+L27+L33+J36</f>
        <v>5</v>
      </c>
      <c r="V46" s="152">
        <f>J13+L17+L22+L24+J27+J33+L36</f>
        <v>4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4</v>
      </c>
      <c r="R47" s="152">
        <f t="shared" si="2"/>
        <v>1</v>
      </c>
      <c r="S47" s="152">
        <f t="shared" si="3"/>
        <v>1</v>
      </c>
      <c r="T47" s="152">
        <f t="shared" si="4"/>
        <v>2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8</v>
      </c>
      <c r="X47" s="129">
        <f t="shared" si="1"/>
        <v>4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C8A57-FA80-433F-AD49-38EFE9BC7FF5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0</v>
      </c>
      <c r="K11" s="110" t="s">
        <v>294</v>
      </c>
      <c r="L11" s="111">
        <v>1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0</v>
      </c>
      <c r="K27" s="124" t="s">
        <v>294</v>
      </c>
      <c r="L27" s="125">
        <v>1</v>
      </c>
      <c r="M27" s="126" t="str">
        <f>Scheids!$D$20</f>
        <v>Bas Kers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0</v>
      </c>
      <c r="K29" s="124" t="s">
        <v>294</v>
      </c>
      <c r="L29" s="125">
        <v>1</v>
      </c>
      <c r="M29" s="126" t="str">
        <f>Scheids!$D$20</f>
        <v>Bas Kers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3</v>
      </c>
      <c r="K30" s="124" t="s">
        <v>294</v>
      </c>
      <c r="L30" s="125">
        <v>0</v>
      </c>
      <c r="M30" s="126" t="str">
        <f>Scheids!$D$20</f>
        <v>Bas Kers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4</v>
      </c>
      <c r="Q41" s="152">
        <f t="shared" ref="Q41:Q48" si="0">COUNT(E41:N41)</f>
        <v>4</v>
      </c>
      <c r="R41" s="152">
        <f>COUNTIFS(E41:N41,3)</f>
        <v>1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4</v>
      </c>
      <c r="W41" s="152">
        <f>Q11+R18+Q21+Q23+R29+Q34+R36</f>
        <v>8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1</v>
      </c>
      <c r="W42" s="152">
        <f>R11+Q15+R19+Q25+Q28+Q33+R37</f>
        <v>8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5</v>
      </c>
      <c r="R43" s="152">
        <f t="shared" si="2"/>
        <v>1</v>
      </c>
      <c r="S43" s="152">
        <f t="shared" si="3"/>
        <v>2</v>
      </c>
      <c r="T43" s="152">
        <f t="shared" si="4"/>
        <v>2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10</v>
      </c>
      <c r="X43" s="129">
        <f t="shared" si="1"/>
        <v>5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3</v>
      </c>
      <c r="V44" s="152">
        <f>J12+L16+L19+J24+L29+J31+J38</f>
        <v>2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4</v>
      </c>
      <c r="R45" s="152">
        <f t="shared" si="2"/>
        <v>0</v>
      </c>
      <c r="S45" s="152">
        <f t="shared" si="3"/>
        <v>4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8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2</v>
      </c>
      <c r="V46" s="152">
        <f>J13+L17+L22+L24+J27+J33+L36</f>
        <v>7</v>
      </c>
      <c r="W46" s="152">
        <f>R13+Q17+Q22+Q24+R27+R33+Q36</f>
        <v>8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4</v>
      </c>
      <c r="R47" s="152">
        <f t="shared" si="2"/>
        <v>4</v>
      </c>
      <c r="S47" s="152">
        <f t="shared" si="3"/>
        <v>0</v>
      </c>
      <c r="T47" s="152">
        <f t="shared" si="4"/>
        <v>0</v>
      </c>
      <c r="U47" s="152">
        <f>J14+L17+L21+L25+J30+L32+J38</f>
        <v>12</v>
      </c>
      <c r="V47" s="152">
        <f>L14+J17+J21+J25+L30+J32+L38</f>
        <v>0</v>
      </c>
      <c r="W47" s="152">
        <f>Q14+R17+R21+R25+Q30+R32+Q38</f>
        <v>8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A6B8A-0E8C-4FEF-ABBE-E61F0832352E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5EAA-B92A-4A93-A5C9-A68727A16FCA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2931C-7E8B-4589-920B-17F3E4FE8C99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A43BD-AE9C-451F-9A46-DCFA9117395C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33EC3-2379-46B0-8FAD-143A3418907A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45BA-48E8-4083-92F9-CDB335BD4821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793E0-0FA1-4C81-B75A-B1B0823B32A8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CB6D9-4D3D-412F-AEDD-87DD8C1543EF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402-7739-4B05-86A9-A98DC1C2E1B7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014CB-A82C-4822-8F41-F9607EDF2552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5147-0607-4D7F-9F2B-7756299BF7FE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EDCA9-1C9E-4BCE-9052-A5E9635495D1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3920B-A1BF-44C8-B372-571473586AB4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DC0B-8328-4438-9646-5463EBF669DA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2026-04-15T14:14:32Z</cp:lastPrinted>
  <dcterms:created xsi:type="dcterms:W3CDTF">2026-04-15T14:14:11Z</dcterms:created>
  <dcterms:modified xsi:type="dcterms:W3CDTF">2026-04-15T14:14:35Z</dcterms:modified>
</cp:coreProperties>
</file>