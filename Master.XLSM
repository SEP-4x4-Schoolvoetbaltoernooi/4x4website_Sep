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C:\TEMP\SEP\GJ\"/>
    </mc:Choice>
  </mc:AlternateContent>
  <xr:revisionPtr revIDLastSave="0" documentId="8_{E74B8867-2971-4FF5-8240-7C948D1E8E3E}" xr6:coauthVersionLast="47" xr6:coauthVersionMax="47" xr10:uidLastSave="{00000000-0000-0000-0000-000000000000}"/>
  <bookViews>
    <workbookView xWindow="-108" yWindow="-108" windowWidth="16608" windowHeight="8712" xr2:uid="{6D201CBC-A238-4197-B193-CD8CB1647959}"/>
  </bookViews>
  <sheets>
    <sheet name="Scholen" sheetId="1" r:id="rId1"/>
    <sheet name="Teams" sheetId="2" r:id="rId2"/>
    <sheet name="Sportiviteit" sheetId="3" r:id="rId3"/>
    <sheet name="Scheids" sheetId="4" r:id="rId4"/>
    <sheet name="PouleA" sheetId="5" r:id="rId5"/>
    <sheet name="PouleB" sheetId="6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state="hidden" r:id="rId20"/>
    <sheet name="PouleQ" sheetId="21" state="hidden" r:id="rId21"/>
    <sheet name="PouleR" sheetId="22" state="hidden" r:id="rId22"/>
    <sheet name="PouleS" sheetId="23" state="hidden" r:id="rId23"/>
    <sheet name="PouleT" sheetId="24" state="hidden" r:id="rId24"/>
    <sheet name="PouleU" sheetId="25" state="hidden" r:id="rId25"/>
    <sheet name="PouleV" sheetId="26" state="hidden" r:id="rId26"/>
    <sheet name="PouleW" sheetId="27" state="hidden" r:id="rId27"/>
    <sheet name="PouleX" sheetId="28" state="hidden" r:id="rId28"/>
    <sheet name="PouleY" sheetId="29" state="hidden" r:id="rId29"/>
    <sheet name="PouleZ" sheetId="30" state="hidden" r:id="rId30"/>
    <sheet name="Finales" sheetId="31" r:id="rId31"/>
    <sheet name="Finales1" sheetId="32" state="hidden" r:id="rId32"/>
    <sheet name="Finales2" sheetId="33" state="hidden" r:id="rId33"/>
  </sheets>
  <externalReferences>
    <externalReference r:id="rId34"/>
  </externalReferences>
  <definedNames>
    <definedName name="_xlnm.Print_Area" localSheetId="30">Finales!$A$1:$P$53</definedName>
    <definedName name="_xlnm.Print_Area" localSheetId="31">Finales1!$A$1:$P$43</definedName>
    <definedName name="_xlnm.Print_Area" localSheetId="32">Finales2!$A$1:$P$50</definedName>
    <definedName name="_xlnm.Print_Area" localSheetId="4">PouleA!$A$1:$O$48,PouleA!$Q$40:$X$48</definedName>
    <definedName name="_xlnm.Print_Area" localSheetId="5">PouleB!$A$1:$O$48,PouleB!$Q$40:$X$48</definedName>
    <definedName name="_xlnm.Print_Area" localSheetId="6">PouleC!$A$1:$O$48,PouleC!$Q$40:$X$48</definedName>
    <definedName name="_xlnm.Print_Area" localSheetId="7">PouleD!$A$1:$O$48,PouleD!$Q$40:$X$48</definedName>
    <definedName name="_xlnm.Print_Area" localSheetId="8">PouleE!$A$1:$O$48,PouleE!$Q$40:$X$48</definedName>
    <definedName name="_xlnm.Print_Area" localSheetId="9">PouleF!$A$1:$O$48,PouleF!$Q$40:$X$48</definedName>
    <definedName name="_xlnm.Print_Area" localSheetId="10">PouleG!$A$1:$O$48,PouleG!$Q$40:$X$48</definedName>
    <definedName name="_xlnm.Print_Area" localSheetId="11">PouleH!$A$1:$O$48,PouleH!$Q$40:$X$48</definedName>
    <definedName name="_xlnm.Print_Area" localSheetId="12">PouleI!$A$1:$O$48,PouleI!$Q$40:$X$48</definedName>
    <definedName name="_xlnm.Print_Area" localSheetId="13">PouleJ!$A$1:$O$48,PouleJ!$Q$40:$X$48</definedName>
    <definedName name="_xlnm.Print_Area" localSheetId="14">PouleK!$A$1:$O$48,PouleK!$Q$40:$X$48</definedName>
    <definedName name="_xlnm.Print_Area" localSheetId="15">PouleL!$A$1:$O$48,PouleL!$Q$40:$X$48</definedName>
    <definedName name="_xlnm.Print_Area" localSheetId="16">PouleM!$A$1:$O$48,PouleM!$Q$40:$X$48</definedName>
    <definedName name="_xlnm.Print_Area" localSheetId="17">PouleN!$A$1:$O$48,PouleN!$Q$40:$X$48</definedName>
    <definedName name="_xlnm.Print_Area" localSheetId="18">PouleO!$A$1:$O$48,PouleO!$Q$40:$X$48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Finales!$1:$7</definedName>
    <definedName name="_xlnm.Print_Titles" localSheetId="31">Finales1!$1:$7</definedName>
    <definedName name="_xlnm.Print_Titles" localSheetId="32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33" l="1"/>
  <c r="E30" i="33" s="1"/>
  <c r="H16" i="33"/>
  <c r="E16" i="33"/>
  <c r="H23" i="33" s="1"/>
  <c r="E29" i="33" s="1"/>
  <c r="H15" i="33"/>
  <c r="E15" i="33"/>
  <c r="O8" i="33"/>
  <c r="A8" i="33"/>
  <c r="H42" i="32"/>
  <c r="E42" i="32"/>
  <c r="H18" i="33" s="1"/>
  <c r="H24" i="33" s="1"/>
  <c r="H29" i="33" s="1"/>
  <c r="H41" i="32"/>
  <c r="E18" i="33" s="1"/>
  <c r="E41" i="32"/>
  <c r="H40" i="32"/>
  <c r="E40" i="32"/>
  <c r="H17" i="33" s="1"/>
  <c r="H39" i="32"/>
  <c r="E17" i="33" s="1"/>
  <c r="E24" i="33" s="1"/>
  <c r="H30" i="33" s="1"/>
  <c r="E39" i="32"/>
  <c r="H38" i="32"/>
  <c r="E37" i="32"/>
  <c r="E36" i="32"/>
  <c r="H35" i="32"/>
  <c r="E35" i="32"/>
  <c r="O8" i="32"/>
  <c r="A8" i="32"/>
  <c r="H39" i="31"/>
  <c r="E39" i="31"/>
  <c r="H38" i="31"/>
  <c r="E38" i="31"/>
  <c r="H33" i="31"/>
  <c r="E33" i="31"/>
  <c r="H32" i="31"/>
  <c r="E32" i="31"/>
  <c r="H27" i="31"/>
  <c r="E27" i="31"/>
  <c r="H26" i="31"/>
  <c r="E26" i="31"/>
  <c r="H25" i="31"/>
  <c r="E25" i="31"/>
  <c r="H24" i="31"/>
  <c r="E24" i="31"/>
  <c r="O8" i="31"/>
  <c r="A8" i="31"/>
  <c r="W48" i="30"/>
  <c r="V48" i="30"/>
  <c r="U48" i="30"/>
  <c r="N48" i="30"/>
  <c r="M48" i="30"/>
  <c r="K48" i="30"/>
  <c r="I48" i="30"/>
  <c r="H48" i="30"/>
  <c r="F48" i="30"/>
  <c r="E48" i="30"/>
  <c r="A48" i="30"/>
  <c r="W47" i="30"/>
  <c r="V47" i="30"/>
  <c r="U47" i="30"/>
  <c r="N47" i="30"/>
  <c r="M47" i="30"/>
  <c r="K47" i="30"/>
  <c r="I47" i="30"/>
  <c r="H47" i="30"/>
  <c r="F47" i="30"/>
  <c r="E47" i="30"/>
  <c r="A47" i="30"/>
  <c r="W46" i="30"/>
  <c r="V46" i="30"/>
  <c r="U46" i="30"/>
  <c r="N46" i="30"/>
  <c r="M46" i="30"/>
  <c r="K46" i="30"/>
  <c r="I46" i="30"/>
  <c r="H46" i="30"/>
  <c r="F46" i="30"/>
  <c r="E46" i="30"/>
  <c r="A46" i="30"/>
  <c r="W45" i="30"/>
  <c r="V45" i="30"/>
  <c r="U45" i="30"/>
  <c r="N45" i="30"/>
  <c r="M45" i="30"/>
  <c r="K45" i="30"/>
  <c r="I45" i="30"/>
  <c r="H45" i="30"/>
  <c r="F45" i="30"/>
  <c r="E45" i="30"/>
  <c r="A45" i="30"/>
  <c r="H20" i="30" s="1"/>
  <c r="W44" i="30"/>
  <c r="V44" i="30"/>
  <c r="U44" i="30"/>
  <c r="N44" i="30"/>
  <c r="M44" i="30"/>
  <c r="K44" i="30"/>
  <c r="I44" i="30"/>
  <c r="H44" i="30"/>
  <c r="F44" i="30"/>
  <c r="E44" i="30"/>
  <c r="A44" i="30"/>
  <c r="E16" i="30" s="1"/>
  <c r="W43" i="30"/>
  <c r="V43" i="30"/>
  <c r="U43" i="30"/>
  <c r="S43" i="30"/>
  <c r="N43" i="30"/>
  <c r="M43" i="30"/>
  <c r="K43" i="30"/>
  <c r="I43" i="30"/>
  <c r="H43" i="30"/>
  <c r="F43" i="30"/>
  <c r="E43" i="30"/>
  <c r="A43" i="30"/>
  <c r="W42" i="30"/>
  <c r="V42" i="30"/>
  <c r="U42" i="30"/>
  <c r="N42" i="30"/>
  <c r="M42" i="30"/>
  <c r="K42" i="30"/>
  <c r="I42" i="30"/>
  <c r="H42" i="30"/>
  <c r="F42" i="30"/>
  <c r="E42" i="30"/>
  <c r="A42" i="30"/>
  <c r="H19" i="30" s="1"/>
  <c r="W41" i="30"/>
  <c r="V41" i="30"/>
  <c r="U41" i="30"/>
  <c r="N41" i="30"/>
  <c r="M41" i="30"/>
  <c r="K41" i="30"/>
  <c r="I41" i="30"/>
  <c r="H41" i="30"/>
  <c r="F41" i="30"/>
  <c r="E41" i="30"/>
  <c r="O41" i="30" s="1" a="1"/>
  <c r="O41" i="30" s="1"/>
  <c r="A41" i="30"/>
  <c r="H36" i="30" s="1"/>
  <c r="M38" i="30"/>
  <c r="H38" i="30"/>
  <c r="E38" i="30"/>
  <c r="M37" i="30"/>
  <c r="M36" i="30"/>
  <c r="E36" i="30"/>
  <c r="M34" i="30"/>
  <c r="M33" i="30"/>
  <c r="H33" i="30"/>
  <c r="M32" i="30"/>
  <c r="H32" i="30"/>
  <c r="M30" i="30"/>
  <c r="E30" i="30"/>
  <c r="M29" i="30"/>
  <c r="E29" i="30"/>
  <c r="M27" i="30"/>
  <c r="H27" i="30"/>
  <c r="M25" i="30"/>
  <c r="H25" i="30"/>
  <c r="E25" i="30"/>
  <c r="M24" i="30"/>
  <c r="H24" i="30"/>
  <c r="E24" i="30"/>
  <c r="M23" i="30"/>
  <c r="M21" i="30"/>
  <c r="H21" i="30"/>
  <c r="M20" i="30"/>
  <c r="M19" i="30"/>
  <c r="E19" i="30"/>
  <c r="M17" i="30"/>
  <c r="H17" i="30"/>
  <c r="E17" i="30"/>
  <c r="M16" i="30"/>
  <c r="M15" i="30"/>
  <c r="E15" i="30"/>
  <c r="M13" i="30"/>
  <c r="H13" i="30"/>
  <c r="M12" i="30"/>
  <c r="M11" i="30"/>
  <c r="H11" i="30"/>
  <c r="N8" i="30"/>
  <c r="K8" i="30"/>
  <c r="I8" i="30"/>
  <c r="E8" i="30"/>
  <c r="A8" i="30"/>
  <c r="W48" i="29"/>
  <c r="V48" i="29"/>
  <c r="U48" i="29"/>
  <c r="N48" i="29"/>
  <c r="M48" i="29"/>
  <c r="K48" i="29"/>
  <c r="I48" i="29"/>
  <c r="H48" i="29"/>
  <c r="F48" i="29"/>
  <c r="E48" i="29"/>
  <c r="A48" i="29"/>
  <c r="W47" i="29"/>
  <c r="V47" i="29"/>
  <c r="U47" i="29"/>
  <c r="N47" i="29"/>
  <c r="M47" i="29"/>
  <c r="K47" i="29"/>
  <c r="I47" i="29"/>
  <c r="H47" i="29"/>
  <c r="F47" i="29"/>
  <c r="E47" i="29"/>
  <c r="A47" i="29"/>
  <c r="W46" i="29"/>
  <c r="V46" i="29"/>
  <c r="U46" i="29"/>
  <c r="N46" i="29"/>
  <c r="M46" i="29"/>
  <c r="K46" i="29"/>
  <c r="I46" i="29"/>
  <c r="H46" i="29"/>
  <c r="F46" i="29"/>
  <c r="E46" i="29"/>
  <c r="A46" i="29"/>
  <c r="E36" i="29" s="1"/>
  <c r="W45" i="29"/>
  <c r="V45" i="29"/>
  <c r="U45" i="29"/>
  <c r="N45" i="29"/>
  <c r="M45" i="29"/>
  <c r="K45" i="29"/>
  <c r="I45" i="29"/>
  <c r="H45" i="29"/>
  <c r="F45" i="29"/>
  <c r="E45" i="29"/>
  <c r="A45" i="29"/>
  <c r="H20" i="29" s="1"/>
  <c r="W44" i="29"/>
  <c r="V44" i="29"/>
  <c r="U44" i="29"/>
  <c r="N44" i="29"/>
  <c r="M44" i="29"/>
  <c r="K44" i="29"/>
  <c r="I44" i="29"/>
  <c r="H44" i="29"/>
  <c r="F44" i="29"/>
  <c r="E44" i="29"/>
  <c r="A44" i="29"/>
  <c r="W43" i="29"/>
  <c r="V43" i="29"/>
  <c r="U43" i="29"/>
  <c r="N43" i="29"/>
  <c r="M43" i="29"/>
  <c r="K43" i="29"/>
  <c r="I43" i="29"/>
  <c r="O43" i="29" s="1" a="1"/>
  <c r="O43" i="29" s="1"/>
  <c r="H43" i="29"/>
  <c r="F43" i="29"/>
  <c r="E43" i="29"/>
  <c r="A43" i="29"/>
  <c r="E27" i="29" s="1"/>
  <c r="W42" i="29"/>
  <c r="V42" i="29"/>
  <c r="U42" i="29"/>
  <c r="N42" i="29"/>
  <c r="M42" i="29"/>
  <c r="K42" i="29"/>
  <c r="I42" i="29"/>
  <c r="H42" i="29"/>
  <c r="F42" i="29"/>
  <c r="E42" i="29"/>
  <c r="A42" i="29"/>
  <c r="H19" i="29" s="1"/>
  <c r="W41" i="29"/>
  <c r="V41" i="29"/>
  <c r="U41" i="29"/>
  <c r="N41" i="29"/>
  <c r="M41" i="29"/>
  <c r="K41" i="29"/>
  <c r="I41" i="29"/>
  <c r="H41" i="29"/>
  <c r="F41" i="29"/>
  <c r="E41" i="29"/>
  <c r="O41" i="29" s="1" a="1"/>
  <c r="O41" i="29" s="1"/>
  <c r="A41" i="29"/>
  <c r="E34" i="29" s="1"/>
  <c r="M38" i="29"/>
  <c r="H38" i="29"/>
  <c r="E38" i="29"/>
  <c r="M37" i="29"/>
  <c r="M36" i="29"/>
  <c r="H36" i="29"/>
  <c r="M34" i="29"/>
  <c r="M33" i="29"/>
  <c r="H33" i="29"/>
  <c r="M32" i="29"/>
  <c r="H32" i="29"/>
  <c r="E32" i="29"/>
  <c r="M30" i="29"/>
  <c r="E30" i="29"/>
  <c r="M29" i="29"/>
  <c r="E29" i="29"/>
  <c r="M27" i="29"/>
  <c r="M25" i="29"/>
  <c r="H25" i="29"/>
  <c r="E25" i="29"/>
  <c r="M24" i="29"/>
  <c r="H24" i="29"/>
  <c r="M23" i="29"/>
  <c r="M21" i="29"/>
  <c r="H21" i="29"/>
  <c r="M20" i="29"/>
  <c r="E20" i="29"/>
  <c r="M19" i="29"/>
  <c r="E19" i="29"/>
  <c r="M17" i="29"/>
  <c r="H17" i="29"/>
  <c r="E17" i="29"/>
  <c r="M16" i="29"/>
  <c r="E16" i="29"/>
  <c r="M15" i="29"/>
  <c r="H15" i="29"/>
  <c r="E15" i="29"/>
  <c r="M13" i="29"/>
  <c r="H13" i="29"/>
  <c r="M12" i="29"/>
  <c r="H12" i="29"/>
  <c r="E12" i="29"/>
  <c r="M11" i="29"/>
  <c r="H11" i="29"/>
  <c r="N8" i="29"/>
  <c r="K8" i="29"/>
  <c r="I8" i="29"/>
  <c r="E8" i="29"/>
  <c r="A8" i="29"/>
  <c r="W48" i="28"/>
  <c r="V48" i="28"/>
  <c r="U48" i="28"/>
  <c r="N48" i="28"/>
  <c r="M48" i="28"/>
  <c r="K48" i="28"/>
  <c r="I48" i="28"/>
  <c r="H48" i="28"/>
  <c r="F48" i="28"/>
  <c r="E48" i="28"/>
  <c r="A48" i="28"/>
  <c r="W47" i="28"/>
  <c r="V47" i="28"/>
  <c r="U47" i="28"/>
  <c r="N47" i="28"/>
  <c r="M47" i="28"/>
  <c r="K47" i="28"/>
  <c r="I47" i="28"/>
  <c r="H47" i="28"/>
  <c r="F47" i="28"/>
  <c r="Q47" i="28" s="1"/>
  <c r="E47" i="28"/>
  <c r="A47" i="28"/>
  <c r="W46" i="28"/>
  <c r="V46" i="28"/>
  <c r="U46" i="28"/>
  <c r="N46" i="28"/>
  <c r="M46" i="28"/>
  <c r="K46" i="28"/>
  <c r="I46" i="28"/>
  <c r="H46" i="28"/>
  <c r="F46" i="28"/>
  <c r="E46" i="28"/>
  <c r="O46" i="28" s="1" a="1"/>
  <c r="O46" i="28" s="1"/>
  <c r="A46" i="28"/>
  <c r="E36" i="28" s="1"/>
  <c r="W45" i="28"/>
  <c r="V45" i="28"/>
  <c r="U45" i="28"/>
  <c r="N45" i="28"/>
  <c r="M45" i="28"/>
  <c r="K45" i="28"/>
  <c r="I45" i="28"/>
  <c r="H45" i="28"/>
  <c r="F45" i="28"/>
  <c r="E45" i="28"/>
  <c r="T45" i="28" s="1"/>
  <c r="A45" i="28"/>
  <c r="W44" i="28"/>
  <c r="V44" i="28"/>
  <c r="U44" i="28"/>
  <c r="N44" i="28"/>
  <c r="M44" i="28"/>
  <c r="K44" i="28"/>
  <c r="I44" i="28"/>
  <c r="S44" i="28" s="1"/>
  <c r="H44" i="28"/>
  <c r="F44" i="28"/>
  <c r="E44" i="28"/>
  <c r="A44" i="28"/>
  <c r="W43" i="28"/>
  <c r="V43" i="28"/>
  <c r="U43" i="28"/>
  <c r="N43" i="28"/>
  <c r="M43" i="28"/>
  <c r="K43" i="28"/>
  <c r="I43" i="28"/>
  <c r="H43" i="28"/>
  <c r="F43" i="28"/>
  <c r="E43" i="28"/>
  <c r="A43" i="28"/>
  <c r="W42" i="28"/>
  <c r="V42" i="28"/>
  <c r="U42" i="28"/>
  <c r="N42" i="28"/>
  <c r="M42" i="28"/>
  <c r="K42" i="28"/>
  <c r="I42" i="28"/>
  <c r="H42" i="28"/>
  <c r="F42" i="28"/>
  <c r="E42" i="28"/>
  <c r="O42" i="28" s="1" a="1"/>
  <c r="O42" i="28" s="1"/>
  <c r="A42" i="28"/>
  <c r="H19" i="28" s="1"/>
  <c r="W41" i="28"/>
  <c r="V41" i="28"/>
  <c r="U41" i="28"/>
  <c r="N41" i="28"/>
  <c r="M41" i="28"/>
  <c r="K41" i="28"/>
  <c r="I41" i="28"/>
  <c r="H41" i="28"/>
  <c r="F41" i="28"/>
  <c r="E41" i="28"/>
  <c r="A41" i="28"/>
  <c r="E34" i="28" s="1"/>
  <c r="M38" i="28"/>
  <c r="H38" i="28"/>
  <c r="E38" i="28"/>
  <c r="M37" i="28"/>
  <c r="E37" i="28"/>
  <c r="M36" i="28"/>
  <c r="H36" i="28"/>
  <c r="M34" i="28"/>
  <c r="H34" i="28"/>
  <c r="M33" i="28"/>
  <c r="H33" i="28"/>
  <c r="M32" i="28"/>
  <c r="H32" i="28"/>
  <c r="E32" i="28"/>
  <c r="M30" i="28"/>
  <c r="H30" i="28"/>
  <c r="E30" i="28"/>
  <c r="M29" i="28"/>
  <c r="E29" i="28"/>
  <c r="M27" i="28"/>
  <c r="E27" i="28"/>
  <c r="M25" i="28"/>
  <c r="H25" i="28"/>
  <c r="E25" i="28"/>
  <c r="M24" i="28"/>
  <c r="H24" i="28"/>
  <c r="M23" i="28"/>
  <c r="H23" i="28"/>
  <c r="M21" i="28"/>
  <c r="H21" i="28"/>
  <c r="M20" i="28"/>
  <c r="H20" i="28"/>
  <c r="E20" i="28"/>
  <c r="M19" i="28"/>
  <c r="E19" i="28"/>
  <c r="M17" i="28"/>
  <c r="H17" i="28"/>
  <c r="M16" i="28"/>
  <c r="H16" i="28"/>
  <c r="E16" i="28"/>
  <c r="M15" i="28"/>
  <c r="H15" i="28"/>
  <c r="E15" i="28"/>
  <c r="M13" i="28"/>
  <c r="E13" i="28"/>
  <c r="M12" i="28"/>
  <c r="H12" i="28"/>
  <c r="E12" i="28"/>
  <c r="M11" i="28"/>
  <c r="H11" i="28"/>
  <c r="N8" i="28"/>
  <c r="K8" i="28"/>
  <c r="I8" i="28"/>
  <c r="E8" i="28"/>
  <c r="A8" i="28"/>
  <c r="W48" i="27"/>
  <c r="V48" i="27"/>
  <c r="U48" i="27"/>
  <c r="N48" i="27"/>
  <c r="M48" i="27"/>
  <c r="K48" i="27"/>
  <c r="I48" i="27"/>
  <c r="H48" i="27"/>
  <c r="F48" i="27"/>
  <c r="E48" i="27"/>
  <c r="A48" i="27"/>
  <c r="W47" i="27"/>
  <c r="V47" i="27"/>
  <c r="U47" i="27"/>
  <c r="N47" i="27"/>
  <c r="M47" i="27"/>
  <c r="K47" i="27"/>
  <c r="I47" i="27"/>
  <c r="T47" i="27" s="1"/>
  <c r="H47" i="27"/>
  <c r="F47" i="27"/>
  <c r="E47" i="27"/>
  <c r="A47" i="27"/>
  <c r="W46" i="27"/>
  <c r="V46" i="27"/>
  <c r="U46" i="27"/>
  <c r="N46" i="27"/>
  <c r="M46" i="27"/>
  <c r="K46" i="27"/>
  <c r="I46" i="27"/>
  <c r="H46" i="27"/>
  <c r="F46" i="27"/>
  <c r="E46" i="27"/>
  <c r="A46" i="27"/>
  <c r="W45" i="27"/>
  <c r="V45" i="27"/>
  <c r="U45" i="27"/>
  <c r="N45" i="27"/>
  <c r="M45" i="27"/>
  <c r="K45" i="27"/>
  <c r="I45" i="27"/>
  <c r="H45" i="27"/>
  <c r="F45" i="27"/>
  <c r="E45" i="27"/>
  <c r="A45" i="27"/>
  <c r="H20" i="27" s="1"/>
  <c r="W44" i="27"/>
  <c r="V44" i="27"/>
  <c r="U44" i="27"/>
  <c r="N44" i="27"/>
  <c r="M44" i="27"/>
  <c r="K44" i="27"/>
  <c r="I44" i="27"/>
  <c r="H44" i="27"/>
  <c r="F44" i="27"/>
  <c r="E44" i="27"/>
  <c r="A44" i="27"/>
  <c r="E16" i="27" s="1"/>
  <c r="W43" i="27"/>
  <c r="V43" i="27"/>
  <c r="U43" i="27"/>
  <c r="N43" i="27"/>
  <c r="M43" i="27"/>
  <c r="K43" i="27"/>
  <c r="I43" i="27"/>
  <c r="H43" i="27"/>
  <c r="F43" i="27"/>
  <c r="E43" i="27"/>
  <c r="R43" i="27" s="1"/>
  <c r="A43" i="27"/>
  <c r="W42" i="27"/>
  <c r="V42" i="27"/>
  <c r="U42" i="27"/>
  <c r="N42" i="27"/>
  <c r="M42" i="27"/>
  <c r="K42" i="27"/>
  <c r="I42" i="27"/>
  <c r="S42" i="27" s="1"/>
  <c r="H42" i="27"/>
  <c r="F42" i="27"/>
  <c r="E42" i="27"/>
  <c r="A42" i="27"/>
  <c r="H19" i="27" s="1"/>
  <c r="W41" i="27"/>
  <c r="V41" i="27"/>
  <c r="U41" i="27"/>
  <c r="O41" i="27" a="1"/>
  <c r="O41" i="27" s="1"/>
  <c r="N41" i="27"/>
  <c r="M41" i="27"/>
  <c r="K41" i="27"/>
  <c r="I41" i="27"/>
  <c r="H41" i="27"/>
  <c r="F41" i="27"/>
  <c r="E41" i="27"/>
  <c r="A41" i="27"/>
  <c r="E34" i="27" s="1"/>
  <c r="M38" i="27"/>
  <c r="H38" i="27"/>
  <c r="E38" i="27"/>
  <c r="M37" i="27"/>
  <c r="M36" i="27"/>
  <c r="E36" i="27"/>
  <c r="M34" i="27"/>
  <c r="M33" i="27"/>
  <c r="H33" i="27"/>
  <c r="E33" i="27"/>
  <c r="M32" i="27"/>
  <c r="H32" i="27"/>
  <c r="E32" i="27"/>
  <c r="M30" i="27"/>
  <c r="E30" i="27"/>
  <c r="M29" i="27"/>
  <c r="E29" i="27"/>
  <c r="M27" i="27"/>
  <c r="H27" i="27"/>
  <c r="E27" i="27"/>
  <c r="M25" i="27"/>
  <c r="H25" i="27"/>
  <c r="E25" i="27"/>
  <c r="M24" i="27"/>
  <c r="H24" i="27"/>
  <c r="E24" i="27"/>
  <c r="M23" i="27"/>
  <c r="H23" i="27"/>
  <c r="M21" i="27"/>
  <c r="H21" i="27"/>
  <c r="M20" i="27"/>
  <c r="E20" i="27"/>
  <c r="M19" i="27"/>
  <c r="E19" i="27"/>
  <c r="M17" i="27"/>
  <c r="H17" i="27"/>
  <c r="E17" i="27"/>
  <c r="M16" i="27"/>
  <c r="M15" i="27"/>
  <c r="H15" i="27"/>
  <c r="M13" i="27"/>
  <c r="H13" i="27"/>
  <c r="M12" i="27"/>
  <c r="E12" i="27"/>
  <c r="M11" i="27"/>
  <c r="H11" i="27"/>
  <c r="N8" i="27"/>
  <c r="K8" i="27"/>
  <c r="I8" i="27"/>
  <c r="E8" i="27"/>
  <c r="A8" i="27"/>
  <c r="W48" i="26"/>
  <c r="V48" i="26"/>
  <c r="U48" i="26"/>
  <c r="N48" i="26"/>
  <c r="M48" i="26"/>
  <c r="K48" i="26"/>
  <c r="I48" i="26"/>
  <c r="H48" i="26"/>
  <c r="F48" i="26"/>
  <c r="E48" i="26"/>
  <c r="A48" i="26"/>
  <c r="W47" i="26"/>
  <c r="V47" i="26"/>
  <c r="U47" i="26"/>
  <c r="N47" i="26"/>
  <c r="M47" i="26"/>
  <c r="K47" i="26"/>
  <c r="I47" i="26"/>
  <c r="H47" i="26"/>
  <c r="F47" i="26"/>
  <c r="R47" i="26" s="1"/>
  <c r="E47" i="26"/>
  <c r="A47" i="26"/>
  <c r="W46" i="26"/>
  <c r="V46" i="26"/>
  <c r="U46" i="26"/>
  <c r="N46" i="26"/>
  <c r="M46" i="26"/>
  <c r="K46" i="26"/>
  <c r="I46" i="26"/>
  <c r="H46" i="26"/>
  <c r="F46" i="26"/>
  <c r="E46" i="26"/>
  <c r="A46" i="26"/>
  <c r="E36" i="26" s="1"/>
  <c r="W45" i="26"/>
  <c r="V45" i="26"/>
  <c r="U45" i="26"/>
  <c r="N45" i="26"/>
  <c r="M45" i="26"/>
  <c r="K45" i="26"/>
  <c r="I45" i="26"/>
  <c r="H45" i="26"/>
  <c r="F45" i="26"/>
  <c r="E45" i="26"/>
  <c r="A45" i="26"/>
  <c r="H20" i="26" s="1"/>
  <c r="W44" i="26"/>
  <c r="V44" i="26"/>
  <c r="U44" i="26"/>
  <c r="N44" i="26"/>
  <c r="M44" i="26"/>
  <c r="K44" i="26"/>
  <c r="I44" i="26"/>
  <c r="H44" i="26"/>
  <c r="F44" i="26"/>
  <c r="E44" i="26"/>
  <c r="A44" i="26"/>
  <c r="E16" i="26" s="1"/>
  <c r="W43" i="26"/>
  <c r="V43" i="26"/>
  <c r="U43" i="26"/>
  <c r="N43" i="26"/>
  <c r="M43" i="26"/>
  <c r="K43" i="26"/>
  <c r="I43" i="26"/>
  <c r="H43" i="26"/>
  <c r="F43" i="26"/>
  <c r="E43" i="26"/>
  <c r="A43" i="26"/>
  <c r="E27" i="26" s="1"/>
  <c r="W42" i="26"/>
  <c r="V42" i="26"/>
  <c r="U42" i="26"/>
  <c r="N42" i="26"/>
  <c r="M42" i="26"/>
  <c r="K42" i="26"/>
  <c r="I42" i="26"/>
  <c r="H42" i="26"/>
  <c r="F42" i="26"/>
  <c r="Q42" i="26" s="1"/>
  <c r="E42" i="26"/>
  <c r="A42" i="26"/>
  <c r="H19" i="26" s="1"/>
  <c r="W41" i="26"/>
  <c r="V41" i="26"/>
  <c r="U41" i="26"/>
  <c r="N41" i="26"/>
  <c r="M41" i="26"/>
  <c r="K41" i="26"/>
  <c r="I41" i="26"/>
  <c r="H41" i="26"/>
  <c r="F41" i="26"/>
  <c r="E41" i="26"/>
  <c r="A41" i="26"/>
  <c r="E34" i="26" s="1"/>
  <c r="M38" i="26"/>
  <c r="H38" i="26"/>
  <c r="E38" i="26"/>
  <c r="M37" i="26"/>
  <c r="M36" i="26"/>
  <c r="M34" i="26"/>
  <c r="M33" i="26"/>
  <c r="H33" i="26"/>
  <c r="M32" i="26"/>
  <c r="H32" i="26"/>
  <c r="E32" i="26"/>
  <c r="M30" i="26"/>
  <c r="E30" i="26"/>
  <c r="M29" i="26"/>
  <c r="E29" i="26"/>
  <c r="M27" i="26"/>
  <c r="M25" i="26"/>
  <c r="H25" i="26"/>
  <c r="E25" i="26"/>
  <c r="M24" i="26"/>
  <c r="H24" i="26"/>
  <c r="M23" i="26"/>
  <c r="M21" i="26"/>
  <c r="H21" i="26"/>
  <c r="M20" i="26"/>
  <c r="E20" i="26"/>
  <c r="M19" i="26"/>
  <c r="E19" i="26"/>
  <c r="M17" i="26"/>
  <c r="H17" i="26"/>
  <c r="E17" i="26"/>
  <c r="M16" i="26"/>
  <c r="M15" i="26"/>
  <c r="H15" i="26"/>
  <c r="E15" i="26"/>
  <c r="M13" i="26"/>
  <c r="H13" i="26"/>
  <c r="M12" i="26"/>
  <c r="E12" i="26"/>
  <c r="M11" i="26"/>
  <c r="H11" i="26"/>
  <c r="N8" i="26"/>
  <c r="K8" i="26"/>
  <c r="I8" i="26"/>
  <c r="E8" i="26"/>
  <c r="A8" i="26"/>
  <c r="W48" i="25"/>
  <c r="V48" i="25"/>
  <c r="U48" i="25"/>
  <c r="N48" i="25"/>
  <c r="M48" i="25"/>
  <c r="K48" i="25"/>
  <c r="I48" i="25"/>
  <c r="H48" i="25"/>
  <c r="F48" i="25"/>
  <c r="E48" i="25"/>
  <c r="A48" i="25"/>
  <c r="W47" i="25"/>
  <c r="V47" i="25"/>
  <c r="U47" i="25"/>
  <c r="N47" i="25"/>
  <c r="M47" i="25"/>
  <c r="K47" i="25"/>
  <c r="I47" i="25"/>
  <c r="H47" i="25"/>
  <c r="F47" i="25"/>
  <c r="E47" i="25"/>
  <c r="A47" i="25"/>
  <c r="W46" i="25"/>
  <c r="V46" i="25"/>
  <c r="U46" i="25"/>
  <c r="N46" i="25"/>
  <c r="M46" i="25"/>
  <c r="K46" i="25"/>
  <c r="I46" i="25"/>
  <c r="H46" i="25"/>
  <c r="F46" i="25"/>
  <c r="E46" i="25"/>
  <c r="O46" i="25" s="1" a="1"/>
  <c r="O46" i="25" s="1"/>
  <c r="A46" i="25"/>
  <c r="E36" i="25" s="1"/>
  <c r="W45" i="25"/>
  <c r="V45" i="25"/>
  <c r="U45" i="25"/>
  <c r="N45" i="25"/>
  <c r="M45" i="25"/>
  <c r="K45" i="25"/>
  <c r="I45" i="25"/>
  <c r="H45" i="25"/>
  <c r="F45" i="25"/>
  <c r="O45" i="25" s="1" a="1"/>
  <c r="O45" i="25" s="1"/>
  <c r="E45" i="25"/>
  <c r="A45" i="25"/>
  <c r="H34" i="25" s="1"/>
  <c r="W44" i="25"/>
  <c r="V44" i="25"/>
  <c r="U44" i="25"/>
  <c r="N44" i="25"/>
  <c r="M44" i="25"/>
  <c r="K44" i="25"/>
  <c r="I44" i="25"/>
  <c r="H44" i="25"/>
  <c r="F44" i="25"/>
  <c r="E44" i="25"/>
  <c r="A44" i="25"/>
  <c r="E16" i="25" s="1"/>
  <c r="W43" i="25"/>
  <c r="V43" i="25"/>
  <c r="U43" i="25"/>
  <c r="N43" i="25"/>
  <c r="M43" i="25"/>
  <c r="K43" i="25"/>
  <c r="I43" i="25"/>
  <c r="H43" i="25"/>
  <c r="F43" i="25"/>
  <c r="E43" i="25"/>
  <c r="A43" i="25"/>
  <c r="W42" i="25"/>
  <c r="V42" i="25"/>
  <c r="U42" i="25"/>
  <c r="N42" i="25"/>
  <c r="M42" i="25"/>
  <c r="K42" i="25"/>
  <c r="I42" i="25"/>
  <c r="S42" i="25" s="1"/>
  <c r="H42" i="25"/>
  <c r="O42" i="25" s="1" a="1"/>
  <c r="O42" i="25" s="1"/>
  <c r="F42" i="25"/>
  <c r="E42" i="25"/>
  <c r="A42" i="25"/>
  <c r="H19" i="25" s="1"/>
  <c r="W41" i="25"/>
  <c r="V41" i="25"/>
  <c r="U41" i="25"/>
  <c r="N41" i="25"/>
  <c r="M41" i="25"/>
  <c r="K41" i="25"/>
  <c r="I41" i="25"/>
  <c r="H41" i="25"/>
  <c r="F41" i="25"/>
  <c r="E41" i="25"/>
  <c r="A41" i="25"/>
  <c r="E34" i="25" s="1"/>
  <c r="M38" i="25"/>
  <c r="H38" i="25"/>
  <c r="E38" i="25"/>
  <c r="M37" i="25"/>
  <c r="E37" i="25"/>
  <c r="M36" i="25"/>
  <c r="H36" i="25"/>
  <c r="M34" i="25"/>
  <c r="M33" i="25"/>
  <c r="H33" i="25"/>
  <c r="M32" i="25"/>
  <c r="H32" i="25"/>
  <c r="M30" i="25"/>
  <c r="H30" i="25"/>
  <c r="E30" i="25"/>
  <c r="M29" i="25"/>
  <c r="E29" i="25"/>
  <c r="M27" i="25"/>
  <c r="M25" i="25"/>
  <c r="H25" i="25"/>
  <c r="E25" i="25"/>
  <c r="M24" i="25"/>
  <c r="H24" i="25"/>
  <c r="M23" i="25"/>
  <c r="M21" i="25"/>
  <c r="H21" i="25"/>
  <c r="M20" i="25"/>
  <c r="H20" i="25"/>
  <c r="M19" i="25"/>
  <c r="M17" i="25"/>
  <c r="H17" i="25"/>
  <c r="M16" i="25"/>
  <c r="H16" i="25"/>
  <c r="M15" i="25"/>
  <c r="E15" i="25"/>
  <c r="M13" i="25"/>
  <c r="E13" i="25"/>
  <c r="M12" i="25"/>
  <c r="M11" i="25"/>
  <c r="H11" i="25"/>
  <c r="K8" i="25"/>
  <c r="I8" i="25"/>
  <c r="E8" i="25"/>
  <c r="W48" i="24"/>
  <c r="V48" i="24"/>
  <c r="U48" i="24"/>
  <c r="N48" i="24"/>
  <c r="M48" i="24"/>
  <c r="K48" i="24"/>
  <c r="I48" i="24"/>
  <c r="H48" i="24"/>
  <c r="F48" i="24"/>
  <c r="R48" i="24" s="1"/>
  <c r="E48" i="24"/>
  <c r="S48" i="24" s="1"/>
  <c r="A48" i="24"/>
  <c r="W47" i="24"/>
  <c r="V47" i="24"/>
  <c r="U47" i="24"/>
  <c r="N47" i="24"/>
  <c r="M47" i="24"/>
  <c r="K47" i="24"/>
  <c r="I47" i="24"/>
  <c r="H47" i="24"/>
  <c r="F47" i="24"/>
  <c r="E47" i="24"/>
  <c r="A47" i="24"/>
  <c r="W46" i="24"/>
  <c r="V46" i="24"/>
  <c r="U46" i="24"/>
  <c r="N46" i="24"/>
  <c r="M46" i="24"/>
  <c r="K46" i="24"/>
  <c r="I46" i="24"/>
  <c r="H46" i="24"/>
  <c r="F46" i="24"/>
  <c r="E46" i="24"/>
  <c r="A46" i="24"/>
  <c r="E36" i="24" s="1"/>
  <c r="W45" i="24"/>
  <c r="V45" i="24"/>
  <c r="U45" i="24"/>
  <c r="N45" i="24"/>
  <c r="M45" i="24"/>
  <c r="K45" i="24"/>
  <c r="I45" i="24"/>
  <c r="H45" i="24"/>
  <c r="F45" i="24"/>
  <c r="E45" i="24"/>
  <c r="A45" i="24"/>
  <c r="H34" i="24" s="1"/>
  <c r="W44" i="24"/>
  <c r="V44" i="24"/>
  <c r="U44" i="24"/>
  <c r="N44" i="24"/>
  <c r="M44" i="24"/>
  <c r="K44" i="24"/>
  <c r="I44" i="24"/>
  <c r="H44" i="24"/>
  <c r="F44" i="24"/>
  <c r="E44" i="24"/>
  <c r="A44" i="24"/>
  <c r="W43" i="24"/>
  <c r="V43" i="24"/>
  <c r="U43" i="24"/>
  <c r="N43" i="24"/>
  <c r="M43" i="24"/>
  <c r="K43" i="24"/>
  <c r="I43" i="24"/>
  <c r="H43" i="24"/>
  <c r="F43" i="24"/>
  <c r="R43" i="24" s="1"/>
  <c r="E43" i="24"/>
  <c r="A43" i="24"/>
  <c r="W42" i="24"/>
  <c r="V42" i="24"/>
  <c r="U42" i="24"/>
  <c r="N42" i="24"/>
  <c r="M42" i="24"/>
  <c r="K42" i="24"/>
  <c r="I42" i="24"/>
  <c r="H42" i="24"/>
  <c r="F42" i="24"/>
  <c r="E42" i="24"/>
  <c r="O42" i="24" s="1" a="1"/>
  <c r="O42" i="24" s="1"/>
  <c r="X42" i="24" s="1"/>
  <c r="A42" i="24"/>
  <c r="H37" i="24" s="1"/>
  <c r="W41" i="24"/>
  <c r="V41" i="24"/>
  <c r="U41" i="24"/>
  <c r="N41" i="24"/>
  <c r="M41" i="24"/>
  <c r="K41" i="24"/>
  <c r="I41" i="24"/>
  <c r="H41" i="24"/>
  <c r="F41" i="24"/>
  <c r="E41" i="24"/>
  <c r="T41" i="24" s="1"/>
  <c r="A41" i="24"/>
  <c r="E34" i="24" s="1"/>
  <c r="M38" i="24"/>
  <c r="H38" i="24"/>
  <c r="E38" i="24"/>
  <c r="M37" i="24"/>
  <c r="E37" i="24"/>
  <c r="M36" i="24"/>
  <c r="H36" i="24"/>
  <c r="M34" i="24"/>
  <c r="M33" i="24"/>
  <c r="H33" i="24"/>
  <c r="M32" i="24"/>
  <c r="H32" i="24"/>
  <c r="E32" i="24"/>
  <c r="M30" i="24"/>
  <c r="H30" i="24"/>
  <c r="E30" i="24"/>
  <c r="M29" i="24"/>
  <c r="E29" i="24"/>
  <c r="M27" i="24"/>
  <c r="E27" i="24"/>
  <c r="M25" i="24"/>
  <c r="H25" i="24"/>
  <c r="E25" i="24"/>
  <c r="M24" i="24"/>
  <c r="H24" i="24"/>
  <c r="M23" i="24"/>
  <c r="H23" i="24"/>
  <c r="M21" i="24"/>
  <c r="H21" i="24"/>
  <c r="M20" i="24"/>
  <c r="H20" i="24"/>
  <c r="E20" i="24"/>
  <c r="M19" i="24"/>
  <c r="E19" i="24"/>
  <c r="M17" i="24"/>
  <c r="H17" i="24"/>
  <c r="M16" i="24"/>
  <c r="H16" i="24"/>
  <c r="E16" i="24"/>
  <c r="M15" i="24"/>
  <c r="H15" i="24"/>
  <c r="E15" i="24"/>
  <c r="M13" i="24"/>
  <c r="E13" i="24"/>
  <c r="M12" i="24"/>
  <c r="H12" i="24"/>
  <c r="E12" i="24"/>
  <c r="M11" i="24"/>
  <c r="N8" i="24"/>
  <c r="K8" i="24"/>
  <c r="I8" i="24"/>
  <c r="E8" i="24"/>
  <c r="A8" i="24"/>
  <c r="W48" i="23"/>
  <c r="V48" i="23"/>
  <c r="U48" i="23"/>
  <c r="N48" i="23"/>
  <c r="M48" i="23"/>
  <c r="K48" i="23"/>
  <c r="I48" i="23"/>
  <c r="H48" i="23"/>
  <c r="F48" i="23"/>
  <c r="E48" i="23"/>
  <c r="A48" i="23"/>
  <c r="W47" i="23"/>
  <c r="V47" i="23"/>
  <c r="U47" i="23"/>
  <c r="N47" i="23"/>
  <c r="M47" i="23"/>
  <c r="K47" i="23"/>
  <c r="I47" i="23"/>
  <c r="H47" i="23"/>
  <c r="F47" i="23"/>
  <c r="E47" i="23"/>
  <c r="A47" i="23"/>
  <c r="W46" i="23"/>
  <c r="V46" i="23"/>
  <c r="U46" i="23"/>
  <c r="N46" i="23"/>
  <c r="M46" i="23"/>
  <c r="K46" i="23"/>
  <c r="I46" i="23"/>
  <c r="H46" i="23"/>
  <c r="F46" i="23"/>
  <c r="E46" i="23"/>
  <c r="O46" i="23" s="1" a="1"/>
  <c r="O46" i="23" s="1"/>
  <c r="X46" i="23" s="1"/>
  <c r="A46" i="23"/>
  <c r="E36" i="23" s="1"/>
  <c r="W45" i="23"/>
  <c r="V45" i="23"/>
  <c r="U45" i="23"/>
  <c r="N45" i="23"/>
  <c r="M45" i="23"/>
  <c r="K45" i="23"/>
  <c r="I45" i="23"/>
  <c r="H45" i="23"/>
  <c r="F45" i="23"/>
  <c r="E45" i="23"/>
  <c r="A45" i="23"/>
  <c r="H34" i="23" s="1"/>
  <c r="W44" i="23"/>
  <c r="V44" i="23"/>
  <c r="U44" i="23"/>
  <c r="N44" i="23"/>
  <c r="M44" i="23"/>
  <c r="K44" i="23"/>
  <c r="I44" i="23"/>
  <c r="H44" i="23"/>
  <c r="F44" i="23"/>
  <c r="E44" i="23"/>
  <c r="A44" i="23"/>
  <c r="W43" i="23"/>
  <c r="V43" i="23"/>
  <c r="U43" i="23"/>
  <c r="N43" i="23"/>
  <c r="M43" i="23"/>
  <c r="K43" i="23"/>
  <c r="I43" i="23"/>
  <c r="H43" i="23"/>
  <c r="F43" i="23"/>
  <c r="E43" i="23"/>
  <c r="A43" i="23"/>
  <c r="E27" i="23" s="1"/>
  <c r="W42" i="23"/>
  <c r="V42" i="23"/>
  <c r="U42" i="23"/>
  <c r="N42" i="23"/>
  <c r="M42" i="23"/>
  <c r="K42" i="23"/>
  <c r="I42" i="23"/>
  <c r="H42" i="23"/>
  <c r="F42" i="23"/>
  <c r="E42" i="23"/>
  <c r="O42" i="23" s="1" a="1"/>
  <c r="O42" i="23" s="1"/>
  <c r="X42" i="23" s="1"/>
  <c r="A42" i="23"/>
  <c r="H19" i="23" s="1"/>
  <c r="W41" i="23"/>
  <c r="V41" i="23"/>
  <c r="U41" i="23"/>
  <c r="N41" i="23"/>
  <c r="M41" i="23"/>
  <c r="K41" i="23"/>
  <c r="I41" i="23"/>
  <c r="H41" i="23"/>
  <c r="F41" i="23"/>
  <c r="Q41" i="23" s="1"/>
  <c r="E41" i="23"/>
  <c r="A41" i="23"/>
  <c r="E34" i="23" s="1"/>
  <c r="M38" i="23"/>
  <c r="E38" i="23"/>
  <c r="M37" i="23"/>
  <c r="M36" i="23"/>
  <c r="H36" i="23"/>
  <c r="M34" i="23"/>
  <c r="M33" i="23"/>
  <c r="M32" i="23"/>
  <c r="H32" i="23"/>
  <c r="E32" i="23"/>
  <c r="M30" i="23"/>
  <c r="H30" i="23"/>
  <c r="E30" i="23"/>
  <c r="M29" i="23"/>
  <c r="M27" i="23"/>
  <c r="M25" i="23"/>
  <c r="H25" i="23"/>
  <c r="E25" i="23"/>
  <c r="M24" i="23"/>
  <c r="M23" i="23"/>
  <c r="E23" i="23"/>
  <c r="M21" i="23"/>
  <c r="H21" i="23"/>
  <c r="M20" i="23"/>
  <c r="H20" i="23"/>
  <c r="E20" i="23"/>
  <c r="M19" i="23"/>
  <c r="M17" i="23"/>
  <c r="H17" i="23"/>
  <c r="M16" i="23"/>
  <c r="H16" i="23"/>
  <c r="M15" i="23"/>
  <c r="H15" i="23"/>
  <c r="E15" i="23"/>
  <c r="M13" i="23"/>
  <c r="E13" i="23"/>
  <c r="M12" i="23"/>
  <c r="E12" i="23"/>
  <c r="M11" i="23"/>
  <c r="H11" i="23"/>
  <c r="N8" i="23"/>
  <c r="K8" i="23"/>
  <c r="I8" i="23"/>
  <c r="E8" i="23"/>
  <c r="A8" i="23"/>
  <c r="W48" i="22"/>
  <c r="V48" i="22"/>
  <c r="U48" i="22"/>
  <c r="N48" i="22"/>
  <c r="M48" i="22"/>
  <c r="K48" i="22"/>
  <c r="I48" i="22"/>
  <c r="H48" i="22"/>
  <c r="F48" i="22"/>
  <c r="E48" i="22"/>
  <c r="A48" i="22"/>
  <c r="W47" i="22"/>
  <c r="V47" i="22"/>
  <c r="U47" i="22"/>
  <c r="N47" i="22"/>
  <c r="M47" i="22"/>
  <c r="K47" i="22"/>
  <c r="I47" i="22"/>
  <c r="H47" i="22"/>
  <c r="F47" i="22"/>
  <c r="E47" i="22"/>
  <c r="A47" i="22"/>
  <c r="W46" i="22"/>
  <c r="V46" i="22"/>
  <c r="U46" i="22"/>
  <c r="N46" i="22"/>
  <c r="M46" i="22"/>
  <c r="K46" i="22"/>
  <c r="I46" i="22"/>
  <c r="S46" i="22" s="1"/>
  <c r="H46" i="22"/>
  <c r="O46" i="22" s="1" a="1"/>
  <c r="O46" i="22" s="1"/>
  <c r="F46" i="22"/>
  <c r="E46" i="22"/>
  <c r="A46" i="22"/>
  <c r="E36" i="22" s="1"/>
  <c r="W45" i="22"/>
  <c r="V45" i="22"/>
  <c r="U45" i="22"/>
  <c r="N45" i="22"/>
  <c r="M45" i="22"/>
  <c r="K45" i="22"/>
  <c r="I45" i="22"/>
  <c r="H45" i="22"/>
  <c r="F45" i="22"/>
  <c r="E45" i="22"/>
  <c r="A45" i="22"/>
  <c r="W44" i="22"/>
  <c r="V44" i="22"/>
  <c r="U44" i="22"/>
  <c r="N44" i="22"/>
  <c r="M44" i="22"/>
  <c r="K44" i="22"/>
  <c r="I44" i="22"/>
  <c r="H44" i="22"/>
  <c r="F44" i="22"/>
  <c r="T44" i="22" s="1"/>
  <c r="E44" i="22"/>
  <c r="A44" i="22"/>
  <c r="W43" i="22"/>
  <c r="V43" i="22"/>
  <c r="U43" i="22"/>
  <c r="N43" i="22"/>
  <c r="M43" i="22"/>
  <c r="K43" i="22"/>
  <c r="I43" i="22"/>
  <c r="H43" i="22"/>
  <c r="F43" i="22"/>
  <c r="E43" i="22"/>
  <c r="A43" i="22"/>
  <c r="E27" i="22" s="1"/>
  <c r="W42" i="22"/>
  <c r="V42" i="22"/>
  <c r="U42" i="22"/>
  <c r="N42" i="22"/>
  <c r="M42" i="22"/>
  <c r="K42" i="22"/>
  <c r="I42" i="22"/>
  <c r="H42" i="22"/>
  <c r="F42" i="22"/>
  <c r="E42" i="22"/>
  <c r="A42" i="22"/>
  <c r="H19" i="22" s="1"/>
  <c r="W41" i="22"/>
  <c r="V41" i="22"/>
  <c r="U41" i="22"/>
  <c r="N41" i="22"/>
  <c r="M41" i="22"/>
  <c r="K41" i="22"/>
  <c r="I41" i="22"/>
  <c r="H41" i="22"/>
  <c r="F41" i="22"/>
  <c r="E41" i="22"/>
  <c r="A41" i="22"/>
  <c r="H29" i="22" s="1"/>
  <c r="M38" i="22"/>
  <c r="H38" i="22"/>
  <c r="M37" i="22"/>
  <c r="E37" i="22"/>
  <c r="M36" i="22"/>
  <c r="M34" i="22"/>
  <c r="H34" i="22"/>
  <c r="M33" i="22"/>
  <c r="H33" i="22"/>
  <c r="M32" i="22"/>
  <c r="M30" i="22"/>
  <c r="H30" i="22"/>
  <c r="M29" i="22"/>
  <c r="E29" i="22"/>
  <c r="M27" i="22"/>
  <c r="M25" i="22"/>
  <c r="E25" i="22"/>
  <c r="M24" i="22"/>
  <c r="H24" i="22"/>
  <c r="M23" i="22"/>
  <c r="E23" i="22"/>
  <c r="M21" i="22"/>
  <c r="M20" i="22"/>
  <c r="H20" i="22"/>
  <c r="E20" i="22"/>
  <c r="M19" i="22"/>
  <c r="E19" i="22"/>
  <c r="M17" i="22"/>
  <c r="M16" i="22"/>
  <c r="H16" i="22"/>
  <c r="E16" i="22"/>
  <c r="M15" i="22"/>
  <c r="H15" i="22"/>
  <c r="M13" i="22"/>
  <c r="E13" i="22"/>
  <c r="M12" i="22"/>
  <c r="H12" i="22"/>
  <c r="E12" i="22"/>
  <c r="M11" i="22"/>
  <c r="H11" i="22"/>
  <c r="N8" i="22"/>
  <c r="K8" i="22"/>
  <c r="E8" i="22"/>
  <c r="A8" i="22"/>
  <c r="W48" i="21"/>
  <c r="V48" i="21"/>
  <c r="U48" i="21"/>
  <c r="N48" i="21"/>
  <c r="M48" i="21"/>
  <c r="K48" i="21"/>
  <c r="I48" i="21"/>
  <c r="H48" i="21"/>
  <c r="F48" i="21"/>
  <c r="E48" i="21"/>
  <c r="A48" i="21"/>
  <c r="W47" i="21"/>
  <c r="V47" i="21"/>
  <c r="U47" i="21"/>
  <c r="N47" i="21"/>
  <c r="M47" i="21"/>
  <c r="K47" i="21"/>
  <c r="I47" i="21"/>
  <c r="H47" i="21"/>
  <c r="F47" i="21"/>
  <c r="E47" i="21"/>
  <c r="A47" i="21"/>
  <c r="W46" i="21"/>
  <c r="V46" i="21"/>
  <c r="U46" i="21"/>
  <c r="N46" i="21"/>
  <c r="M46" i="21"/>
  <c r="K46" i="21"/>
  <c r="I46" i="21"/>
  <c r="S46" i="21" s="1"/>
  <c r="H46" i="21"/>
  <c r="F46" i="21"/>
  <c r="E46" i="21"/>
  <c r="A46" i="21"/>
  <c r="W45" i="21"/>
  <c r="V45" i="21"/>
  <c r="U45" i="21"/>
  <c r="O45" i="21" a="1"/>
  <c r="O45" i="21" s="1"/>
  <c r="N45" i="21"/>
  <c r="M45" i="21"/>
  <c r="K45" i="21"/>
  <c r="I45" i="21"/>
  <c r="H45" i="21"/>
  <c r="F45" i="21"/>
  <c r="E45" i="21"/>
  <c r="A45" i="21"/>
  <c r="H20" i="21" s="1"/>
  <c r="W44" i="21"/>
  <c r="V44" i="21"/>
  <c r="U44" i="21"/>
  <c r="N44" i="21"/>
  <c r="M44" i="21"/>
  <c r="K44" i="21"/>
  <c r="I44" i="21"/>
  <c r="H44" i="21"/>
  <c r="F44" i="21"/>
  <c r="E44" i="21"/>
  <c r="A44" i="21"/>
  <c r="W43" i="21"/>
  <c r="V43" i="21"/>
  <c r="U43" i="21"/>
  <c r="N43" i="21"/>
  <c r="M43" i="21"/>
  <c r="K43" i="21"/>
  <c r="I43" i="21"/>
  <c r="H43" i="21"/>
  <c r="F43" i="21"/>
  <c r="E43" i="21"/>
  <c r="A43" i="21"/>
  <c r="W42" i="21"/>
  <c r="V42" i="21"/>
  <c r="U42" i="21"/>
  <c r="N42" i="21"/>
  <c r="M42" i="21"/>
  <c r="K42" i="21"/>
  <c r="I42" i="21"/>
  <c r="H42" i="21"/>
  <c r="F42" i="21"/>
  <c r="E42" i="21"/>
  <c r="T42" i="21" s="1"/>
  <c r="A42" i="21"/>
  <c r="W41" i="21"/>
  <c r="V41" i="21"/>
  <c r="U41" i="21"/>
  <c r="N41" i="21"/>
  <c r="M41" i="21"/>
  <c r="K41" i="21"/>
  <c r="O41" i="21" s="1" a="1"/>
  <c r="O41" i="21" s="1"/>
  <c r="I41" i="21"/>
  <c r="H41" i="21"/>
  <c r="F41" i="21"/>
  <c r="E41" i="21"/>
  <c r="A41" i="21"/>
  <c r="H29" i="21" s="1"/>
  <c r="M38" i="21"/>
  <c r="H38" i="21"/>
  <c r="E38" i="21"/>
  <c r="M37" i="21"/>
  <c r="H37" i="21"/>
  <c r="M36" i="21"/>
  <c r="E36" i="21"/>
  <c r="M34" i="21"/>
  <c r="M33" i="21"/>
  <c r="H33" i="21"/>
  <c r="E33" i="21"/>
  <c r="M32" i="21"/>
  <c r="H32" i="21"/>
  <c r="E32" i="21"/>
  <c r="M30" i="21"/>
  <c r="E30" i="21"/>
  <c r="M29" i="21"/>
  <c r="E29" i="21"/>
  <c r="M27" i="21"/>
  <c r="H27" i="21"/>
  <c r="E27" i="21"/>
  <c r="M25" i="21"/>
  <c r="H25" i="21"/>
  <c r="E25" i="21"/>
  <c r="M24" i="21"/>
  <c r="H24" i="21"/>
  <c r="E24" i="21"/>
  <c r="M23" i="21"/>
  <c r="H23" i="21"/>
  <c r="M21" i="21"/>
  <c r="H21" i="21"/>
  <c r="M20" i="21"/>
  <c r="E20" i="21"/>
  <c r="M19" i="21"/>
  <c r="H19" i="21"/>
  <c r="E19" i="21"/>
  <c r="M17" i="21"/>
  <c r="H17" i="21"/>
  <c r="E17" i="21"/>
  <c r="M16" i="21"/>
  <c r="E16" i="21"/>
  <c r="M15" i="21"/>
  <c r="H15" i="21"/>
  <c r="E15" i="21"/>
  <c r="M13" i="21"/>
  <c r="H13" i="21"/>
  <c r="M12" i="21"/>
  <c r="H12" i="21"/>
  <c r="E12" i="21"/>
  <c r="M11" i="21"/>
  <c r="H11" i="21"/>
  <c r="N8" i="21"/>
  <c r="K8" i="21"/>
  <c r="E8" i="21"/>
  <c r="A8" i="21"/>
  <c r="W48" i="20"/>
  <c r="V48" i="20"/>
  <c r="U48" i="20"/>
  <c r="N48" i="20"/>
  <c r="M48" i="20"/>
  <c r="K48" i="20"/>
  <c r="I48" i="20"/>
  <c r="H48" i="20"/>
  <c r="F48" i="20"/>
  <c r="E48" i="20"/>
  <c r="A48" i="20"/>
  <c r="W47" i="20"/>
  <c r="V47" i="20"/>
  <c r="U47" i="20"/>
  <c r="N47" i="20"/>
  <c r="M47" i="20"/>
  <c r="K47" i="20"/>
  <c r="I47" i="20"/>
  <c r="H47" i="20"/>
  <c r="F47" i="20"/>
  <c r="E47" i="20"/>
  <c r="A47" i="20"/>
  <c r="W46" i="20"/>
  <c r="V46" i="20"/>
  <c r="U46" i="20"/>
  <c r="N46" i="20"/>
  <c r="M46" i="20"/>
  <c r="K46" i="20"/>
  <c r="I46" i="20"/>
  <c r="H46" i="20"/>
  <c r="F46" i="20"/>
  <c r="E46" i="20"/>
  <c r="A46" i="20"/>
  <c r="E36" i="20" s="1"/>
  <c r="W45" i="20"/>
  <c r="V45" i="20"/>
  <c r="U45" i="20"/>
  <c r="N45" i="20"/>
  <c r="M45" i="20"/>
  <c r="K45" i="20"/>
  <c r="I45" i="20"/>
  <c r="H45" i="20"/>
  <c r="F45" i="20"/>
  <c r="E45" i="20"/>
  <c r="A45" i="20"/>
  <c r="H20" i="20" s="1"/>
  <c r="W44" i="20"/>
  <c r="V44" i="20"/>
  <c r="U44" i="20"/>
  <c r="N44" i="20"/>
  <c r="M44" i="20"/>
  <c r="K44" i="20"/>
  <c r="I44" i="20"/>
  <c r="H44" i="20"/>
  <c r="F44" i="20"/>
  <c r="E44" i="20"/>
  <c r="A44" i="20"/>
  <c r="W43" i="20"/>
  <c r="V43" i="20"/>
  <c r="U43" i="20"/>
  <c r="N43" i="20"/>
  <c r="M43" i="20"/>
  <c r="K43" i="20"/>
  <c r="I43" i="20"/>
  <c r="H43" i="20"/>
  <c r="F43" i="20"/>
  <c r="R43" i="20" s="1"/>
  <c r="E43" i="20"/>
  <c r="S43" i="20" s="1"/>
  <c r="A43" i="20"/>
  <c r="E27" i="20" s="1"/>
  <c r="W42" i="20"/>
  <c r="V42" i="20"/>
  <c r="U42" i="20"/>
  <c r="N42" i="20"/>
  <c r="M42" i="20"/>
  <c r="K42" i="20"/>
  <c r="I42" i="20"/>
  <c r="H42" i="20"/>
  <c r="F42" i="20"/>
  <c r="E42" i="20"/>
  <c r="A42" i="20"/>
  <c r="H19" i="20" s="1"/>
  <c r="W41" i="20"/>
  <c r="V41" i="20"/>
  <c r="U41" i="20"/>
  <c r="N41" i="20"/>
  <c r="M41" i="20"/>
  <c r="K41" i="20"/>
  <c r="I41" i="20"/>
  <c r="H41" i="20"/>
  <c r="F41" i="20"/>
  <c r="E41" i="20"/>
  <c r="A41" i="20"/>
  <c r="H36" i="20" s="1"/>
  <c r="M38" i="20"/>
  <c r="H38" i="20"/>
  <c r="E38" i="20"/>
  <c r="M37" i="20"/>
  <c r="M36" i="20"/>
  <c r="M34" i="20"/>
  <c r="M33" i="20"/>
  <c r="H33" i="20"/>
  <c r="M32" i="20"/>
  <c r="H32" i="20"/>
  <c r="E32" i="20"/>
  <c r="M30" i="20"/>
  <c r="E30" i="20"/>
  <c r="M29" i="20"/>
  <c r="E29" i="20"/>
  <c r="M27" i="20"/>
  <c r="H27" i="20"/>
  <c r="M25" i="20"/>
  <c r="H25" i="20"/>
  <c r="E25" i="20"/>
  <c r="M24" i="20"/>
  <c r="H24" i="20"/>
  <c r="M23" i="20"/>
  <c r="M21" i="20"/>
  <c r="H21" i="20"/>
  <c r="M20" i="20"/>
  <c r="E20" i="20"/>
  <c r="M19" i="20"/>
  <c r="E19" i="20"/>
  <c r="M17" i="20"/>
  <c r="H17" i="20"/>
  <c r="E17" i="20"/>
  <c r="M16" i="20"/>
  <c r="E16" i="20"/>
  <c r="M15" i="20"/>
  <c r="H15" i="20"/>
  <c r="M13" i="20"/>
  <c r="H13" i="20"/>
  <c r="M12" i="20"/>
  <c r="H12" i="20"/>
  <c r="E12" i="20"/>
  <c r="M11" i="20"/>
  <c r="H11" i="20"/>
  <c r="N8" i="20"/>
  <c r="K8" i="20"/>
  <c r="E8" i="20"/>
  <c r="A8" i="20"/>
  <c r="W48" i="19"/>
  <c r="V48" i="19"/>
  <c r="U48" i="19"/>
  <c r="N48" i="19"/>
  <c r="M48" i="19"/>
  <c r="K48" i="19"/>
  <c r="I48" i="19"/>
  <c r="H48" i="19"/>
  <c r="F48" i="19"/>
  <c r="E48" i="19"/>
  <c r="S48" i="19" s="1"/>
  <c r="A48" i="19"/>
  <c r="W47" i="19"/>
  <c r="V47" i="19"/>
  <c r="U47" i="19"/>
  <c r="N47" i="19"/>
  <c r="M47" i="19"/>
  <c r="K47" i="19"/>
  <c r="I47" i="19"/>
  <c r="H47" i="19"/>
  <c r="F47" i="19"/>
  <c r="E47" i="19"/>
  <c r="A47" i="19"/>
  <c r="W46" i="19"/>
  <c r="V46" i="19"/>
  <c r="U46" i="19"/>
  <c r="N46" i="19"/>
  <c r="M46" i="19"/>
  <c r="K46" i="19"/>
  <c r="I46" i="19"/>
  <c r="O46" i="19" s="1" a="1"/>
  <c r="O46" i="19" s="1"/>
  <c r="H46" i="19"/>
  <c r="F46" i="19"/>
  <c r="E46" i="19"/>
  <c r="A46" i="19"/>
  <c r="E36" i="19" s="1"/>
  <c r="W45" i="19"/>
  <c r="V45" i="19"/>
  <c r="U45" i="19"/>
  <c r="Q45" i="19"/>
  <c r="N45" i="19"/>
  <c r="M45" i="19"/>
  <c r="K45" i="19"/>
  <c r="I45" i="19"/>
  <c r="H45" i="19"/>
  <c r="F45" i="19"/>
  <c r="E45" i="19"/>
  <c r="A45" i="19"/>
  <c r="W44" i="19"/>
  <c r="V44" i="19"/>
  <c r="U44" i="19"/>
  <c r="N44" i="19"/>
  <c r="M44" i="19"/>
  <c r="K44" i="19"/>
  <c r="I44" i="19"/>
  <c r="H44" i="19"/>
  <c r="F44" i="19"/>
  <c r="E44" i="19"/>
  <c r="A44" i="19"/>
  <c r="E16" i="19" s="1"/>
  <c r="W43" i="19"/>
  <c r="V43" i="19"/>
  <c r="U43" i="19"/>
  <c r="N43" i="19"/>
  <c r="M43" i="19"/>
  <c r="K43" i="19"/>
  <c r="I43" i="19"/>
  <c r="H43" i="19"/>
  <c r="F43" i="19"/>
  <c r="E43" i="19"/>
  <c r="A43" i="19"/>
  <c r="E27" i="19" s="1"/>
  <c r="W42" i="19"/>
  <c r="V42" i="19"/>
  <c r="U42" i="19"/>
  <c r="N42" i="19"/>
  <c r="M42" i="19"/>
  <c r="K42" i="19"/>
  <c r="I42" i="19"/>
  <c r="H42" i="19"/>
  <c r="F42" i="19"/>
  <c r="E42" i="19"/>
  <c r="O42" i="19" s="1" a="1"/>
  <c r="O42" i="19" s="1"/>
  <c r="A42" i="19"/>
  <c r="H19" i="19" s="1"/>
  <c r="W41" i="19"/>
  <c r="V41" i="19"/>
  <c r="U41" i="19"/>
  <c r="N41" i="19"/>
  <c r="M41" i="19"/>
  <c r="K41" i="19"/>
  <c r="I41" i="19"/>
  <c r="H41" i="19"/>
  <c r="F41" i="19"/>
  <c r="E41" i="19"/>
  <c r="A41" i="19"/>
  <c r="H29" i="19" s="1"/>
  <c r="M38" i="19"/>
  <c r="H38" i="19"/>
  <c r="M37" i="19"/>
  <c r="M36" i="19"/>
  <c r="H36" i="19"/>
  <c r="M34" i="19"/>
  <c r="E34" i="19"/>
  <c r="M33" i="19"/>
  <c r="H33" i="19"/>
  <c r="M32" i="19"/>
  <c r="E32" i="19"/>
  <c r="M30" i="19"/>
  <c r="E30" i="19"/>
  <c r="M29" i="19"/>
  <c r="M27" i="19"/>
  <c r="M25" i="19"/>
  <c r="E25" i="19"/>
  <c r="M24" i="19"/>
  <c r="H24" i="19"/>
  <c r="M23" i="19"/>
  <c r="E23" i="19"/>
  <c r="M21" i="19"/>
  <c r="M20" i="19"/>
  <c r="E20" i="19"/>
  <c r="M19" i="19"/>
  <c r="M17" i="19"/>
  <c r="M16" i="19"/>
  <c r="M15" i="19"/>
  <c r="H15" i="19"/>
  <c r="E15" i="19"/>
  <c r="M13" i="19"/>
  <c r="M12" i="19"/>
  <c r="E12" i="19"/>
  <c r="M11" i="19"/>
  <c r="H11" i="19"/>
  <c r="E11" i="19"/>
  <c r="N8" i="19"/>
  <c r="K8" i="19"/>
  <c r="E8" i="19"/>
  <c r="A8" i="19"/>
  <c r="W48" i="18"/>
  <c r="V48" i="18"/>
  <c r="U48" i="18"/>
  <c r="N48" i="18"/>
  <c r="M48" i="18"/>
  <c r="K48" i="18"/>
  <c r="I48" i="18"/>
  <c r="H48" i="18"/>
  <c r="F48" i="18"/>
  <c r="E48" i="18"/>
  <c r="A48" i="18"/>
  <c r="W47" i="18"/>
  <c r="V47" i="18"/>
  <c r="U47" i="18"/>
  <c r="N47" i="18"/>
  <c r="M47" i="18"/>
  <c r="K47" i="18"/>
  <c r="I47" i="18"/>
  <c r="H47" i="18"/>
  <c r="F47" i="18"/>
  <c r="E47" i="18"/>
  <c r="A47" i="18"/>
  <c r="W46" i="18"/>
  <c r="V46" i="18"/>
  <c r="U46" i="18"/>
  <c r="N46" i="18"/>
  <c r="M46" i="18"/>
  <c r="K46" i="18"/>
  <c r="I46" i="18"/>
  <c r="H46" i="18"/>
  <c r="F46" i="18"/>
  <c r="E46" i="18"/>
  <c r="A46" i="18"/>
  <c r="W45" i="18"/>
  <c r="V45" i="18"/>
  <c r="U45" i="18"/>
  <c r="N45" i="18"/>
  <c r="M45" i="18"/>
  <c r="K45" i="18"/>
  <c r="I45" i="18"/>
  <c r="H45" i="18"/>
  <c r="F45" i="18"/>
  <c r="E45" i="18"/>
  <c r="A45" i="18"/>
  <c r="H20" i="18" s="1"/>
  <c r="W44" i="18"/>
  <c r="V44" i="18"/>
  <c r="U44" i="18"/>
  <c r="N44" i="18"/>
  <c r="M44" i="18"/>
  <c r="K44" i="18"/>
  <c r="I44" i="18"/>
  <c r="H44" i="18"/>
  <c r="F44" i="18"/>
  <c r="E44" i="18"/>
  <c r="A44" i="18"/>
  <c r="E29" i="18" s="1"/>
  <c r="W43" i="18"/>
  <c r="V43" i="18"/>
  <c r="U43" i="18"/>
  <c r="N43" i="18"/>
  <c r="M43" i="18"/>
  <c r="K43" i="18"/>
  <c r="I43" i="18"/>
  <c r="H43" i="18"/>
  <c r="F43" i="18"/>
  <c r="E43" i="18"/>
  <c r="A43" i="18"/>
  <c r="W42" i="18"/>
  <c r="V42" i="18"/>
  <c r="U42" i="18"/>
  <c r="N42" i="18"/>
  <c r="M42" i="18"/>
  <c r="K42" i="18"/>
  <c r="I42" i="18"/>
  <c r="H42" i="18"/>
  <c r="F42" i="18"/>
  <c r="S42" i="18" s="1"/>
  <c r="E42" i="18"/>
  <c r="A42" i="18"/>
  <c r="H37" i="18" s="1"/>
  <c r="W41" i="18"/>
  <c r="V41" i="18"/>
  <c r="U41" i="18"/>
  <c r="N41" i="18"/>
  <c r="M41" i="18"/>
  <c r="K41" i="18"/>
  <c r="I41" i="18"/>
  <c r="H41" i="18"/>
  <c r="F41" i="18"/>
  <c r="E41" i="18"/>
  <c r="O41" i="18" s="1" a="1"/>
  <c r="O41" i="18" s="1"/>
  <c r="A41" i="18"/>
  <c r="H36" i="18" s="1"/>
  <c r="M38" i="18"/>
  <c r="H38" i="18"/>
  <c r="E38" i="18"/>
  <c r="M37" i="18"/>
  <c r="M36" i="18"/>
  <c r="E36" i="18"/>
  <c r="M34" i="18"/>
  <c r="M33" i="18"/>
  <c r="H33" i="18"/>
  <c r="M32" i="18"/>
  <c r="H32" i="18"/>
  <c r="E32" i="18"/>
  <c r="M30" i="18"/>
  <c r="E30" i="18"/>
  <c r="M29" i="18"/>
  <c r="M27" i="18"/>
  <c r="H27" i="18"/>
  <c r="E27" i="18"/>
  <c r="M25" i="18"/>
  <c r="H25" i="18"/>
  <c r="E25" i="18"/>
  <c r="M24" i="18"/>
  <c r="H24" i="18"/>
  <c r="E24" i="18"/>
  <c r="M23" i="18"/>
  <c r="H23" i="18"/>
  <c r="M21" i="18"/>
  <c r="H21" i="18"/>
  <c r="M20" i="18"/>
  <c r="E20" i="18"/>
  <c r="M19" i="18"/>
  <c r="E19" i="18"/>
  <c r="M17" i="18"/>
  <c r="H17" i="18"/>
  <c r="E17" i="18"/>
  <c r="M16" i="18"/>
  <c r="E16" i="18"/>
  <c r="M15" i="18"/>
  <c r="H15" i="18"/>
  <c r="E15" i="18"/>
  <c r="M13" i="18"/>
  <c r="H13" i="18"/>
  <c r="M12" i="18"/>
  <c r="H12" i="18"/>
  <c r="E12" i="18"/>
  <c r="M11" i="18"/>
  <c r="H11" i="18"/>
  <c r="N8" i="18"/>
  <c r="K8" i="18"/>
  <c r="E8" i="18"/>
  <c r="A8" i="18"/>
  <c r="W48" i="17"/>
  <c r="V48" i="17"/>
  <c r="U48" i="17"/>
  <c r="N48" i="17"/>
  <c r="M48" i="17"/>
  <c r="K48" i="17"/>
  <c r="I48" i="17"/>
  <c r="H48" i="17"/>
  <c r="F48" i="17"/>
  <c r="E48" i="17"/>
  <c r="A48" i="17"/>
  <c r="W47" i="17"/>
  <c r="V47" i="17"/>
  <c r="U47" i="17"/>
  <c r="N47" i="17"/>
  <c r="M47" i="17"/>
  <c r="K47" i="17"/>
  <c r="I47" i="17"/>
  <c r="H47" i="17"/>
  <c r="F47" i="17"/>
  <c r="E47" i="17"/>
  <c r="R47" i="17" s="1"/>
  <c r="A47" i="17"/>
  <c r="W46" i="17"/>
  <c r="V46" i="17"/>
  <c r="U46" i="17"/>
  <c r="N46" i="17"/>
  <c r="M46" i="17"/>
  <c r="K46" i="17"/>
  <c r="I46" i="17"/>
  <c r="H46" i="17"/>
  <c r="F46" i="17"/>
  <c r="E46" i="17"/>
  <c r="A46" i="17"/>
  <c r="E36" i="17" s="1"/>
  <c r="W45" i="17"/>
  <c r="V45" i="17"/>
  <c r="U45" i="17"/>
  <c r="N45" i="17"/>
  <c r="M45" i="17"/>
  <c r="K45" i="17"/>
  <c r="I45" i="17"/>
  <c r="H45" i="17"/>
  <c r="F45" i="17"/>
  <c r="E45" i="17"/>
  <c r="A45" i="17"/>
  <c r="W44" i="17"/>
  <c r="V44" i="17"/>
  <c r="U44" i="17"/>
  <c r="N44" i="17"/>
  <c r="M44" i="17"/>
  <c r="K44" i="17"/>
  <c r="I44" i="17"/>
  <c r="H44" i="17"/>
  <c r="F44" i="17"/>
  <c r="E44" i="17"/>
  <c r="A44" i="17"/>
  <c r="W43" i="17"/>
  <c r="V43" i="17"/>
  <c r="U43" i="17"/>
  <c r="N43" i="17"/>
  <c r="M43" i="17"/>
  <c r="K43" i="17"/>
  <c r="I43" i="17"/>
  <c r="H43" i="17"/>
  <c r="F43" i="17"/>
  <c r="E43" i="17"/>
  <c r="A43" i="17"/>
  <c r="W42" i="17"/>
  <c r="V42" i="17"/>
  <c r="U42" i="17"/>
  <c r="N42" i="17"/>
  <c r="M42" i="17"/>
  <c r="K42" i="17"/>
  <c r="I42" i="17"/>
  <c r="H42" i="17"/>
  <c r="F42" i="17"/>
  <c r="E42" i="17"/>
  <c r="A42" i="17"/>
  <c r="H19" i="17" s="1"/>
  <c r="W41" i="17"/>
  <c r="V41" i="17"/>
  <c r="U41" i="17"/>
  <c r="N41" i="17"/>
  <c r="M41" i="17"/>
  <c r="K41" i="17"/>
  <c r="I41" i="17"/>
  <c r="H41" i="17"/>
  <c r="F41" i="17"/>
  <c r="E41" i="17"/>
  <c r="A41" i="17"/>
  <c r="E34" i="17" s="1"/>
  <c r="M38" i="17"/>
  <c r="H38" i="17"/>
  <c r="E38" i="17"/>
  <c r="M37" i="17"/>
  <c r="M36" i="17"/>
  <c r="M34" i="17"/>
  <c r="M33" i="17"/>
  <c r="H33" i="17"/>
  <c r="M32" i="17"/>
  <c r="H32" i="17"/>
  <c r="E32" i="17"/>
  <c r="M30" i="17"/>
  <c r="E30" i="17"/>
  <c r="M29" i="17"/>
  <c r="E29" i="17"/>
  <c r="M27" i="17"/>
  <c r="E27" i="17"/>
  <c r="M25" i="17"/>
  <c r="H25" i="17"/>
  <c r="E25" i="17"/>
  <c r="M24" i="17"/>
  <c r="H24" i="17"/>
  <c r="M23" i="17"/>
  <c r="H23" i="17"/>
  <c r="M21" i="17"/>
  <c r="H21" i="17"/>
  <c r="M20" i="17"/>
  <c r="E20" i="17"/>
  <c r="M19" i="17"/>
  <c r="E19" i="17"/>
  <c r="M17" i="17"/>
  <c r="H17" i="17"/>
  <c r="M16" i="17"/>
  <c r="E16" i="17"/>
  <c r="M15" i="17"/>
  <c r="H15" i="17"/>
  <c r="E15" i="17"/>
  <c r="M13" i="17"/>
  <c r="M12" i="17"/>
  <c r="H12" i="17"/>
  <c r="E12" i="17"/>
  <c r="M11" i="17"/>
  <c r="H11" i="17"/>
  <c r="N8" i="17"/>
  <c r="K8" i="17"/>
  <c r="E8" i="17"/>
  <c r="A8" i="17"/>
  <c r="W48" i="16"/>
  <c r="V48" i="16"/>
  <c r="U48" i="16"/>
  <c r="N48" i="16"/>
  <c r="M48" i="16"/>
  <c r="K48" i="16"/>
  <c r="I48" i="16"/>
  <c r="H48" i="16"/>
  <c r="F48" i="16"/>
  <c r="E48" i="16"/>
  <c r="A48" i="16"/>
  <c r="W47" i="16"/>
  <c r="V47" i="16"/>
  <c r="U47" i="16"/>
  <c r="N47" i="16"/>
  <c r="M47" i="16"/>
  <c r="K47" i="16"/>
  <c r="I47" i="16"/>
  <c r="H47" i="16"/>
  <c r="S47" i="16" s="1"/>
  <c r="F47" i="16"/>
  <c r="E47" i="16"/>
  <c r="A47" i="16"/>
  <c r="H17" i="16" s="1"/>
  <c r="W46" i="16"/>
  <c r="V46" i="16"/>
  <c r="U46" i="16"/>
  <c r="N46" i="16"/>
  <c r="M46" i="16"/>
  <c r="K46" i="16"/>
  <c r="I46" i="16"/>
  <c r="H46" i="16"/>
  <c r="F46" i="16"/>
  <c r="E46" i="16"/>
  <c r="A46" i="16"/>
  <c r="W45" i="16"/>
  <c r="V45" i="16"/>
  <c r="U45" i="16"/>
  <c r="N45" i="16"/>
  <c r="M45" i="16"/>
  <c r="K45" i="16"/>
  <c r="I45" i="16"/>
  <c r="H45" i="16"/>
  <c r="F45" i="16"/>
  <c r="E45" i="16"/>
  <c r="A45" i="16"/>
  <c r="H20" i="16" s="1"/>
  <c r="W44" i="16"/>
  <c r="V44" i="16"/>
  <c r="U44" i="16"/>
  <c r="N44" i="16"/>
  <c r="M44" i="16"/>
  <c r="K44" i="16"/>
  <c r="I44" i="16"/>
  <c r="H44" i="16"/>
  <c r="F44" i="16"/>
  <c r="E44" i="16"/>
  <c r="A44" i="16"/>
  <c r="E16" i="16" s="1"/>
  <c r="W43" i="16"/>
  <c r="V43" i="16"/>
  <c r="U43" i="16"/>
  <c r="N43" i="16"/>
  <c r="M43" i="16"/>
  <c r="K43" i="16"/>
  <c r="I43" i="16"/>
  <c r="H43" i="16"/>
  <c r="F43" i="16"/>
  <c r="E43" i="16"/>
  <c r="A43" i="16"/>
  <c r="E27" i="16" s="1"/>
  <c r="W42" i="16"/>
  <c r="V42" i="16"/>
  <c r="U42" i="16"/>
  <c r="N42" i="16"/>
  <c r="M42" i="16"/>
  <c r="K42" i="16"/>
  <c r="I42" i="16"/>
  <c r="S42" i="16" s="1"/>
  <c r="H42" i="16"/>
  <c r="F42" i="16"/>
  <c r="E42" i="16"/>
  <c r="A42" i="16"/>
  <c r="H19" i="16" s="1"/>
  <c r="W41" i="16"/>
  <c r="V41" i="16"/>
  <c r="U41" i="16"/>
  <c r="O41" i="16" a="1"/>
  <c r="O41" i="16" s="1"/>
  <c r="N41" i="16"/>
  <c r="M41" i="16"/>
  <c r="K41" i="16"/>
  <c r="I41" i="16"/>
  <c r="H41" i="16"/>
  <c r="F41" i="16"/>
  <c r="E41" i="16"/>
  <c r="A41" i="16"/>
  <c r="H36" i="16" s="1"/>
  <c r="M38" i="16"/>
  <c r="H38" i="16"/>
  <c r="E38" i="16"/>
  <c r="M37" i="16"/>
  <c r="M36" i="16"/>
  <c r="E36" i="16"/>
  <c r="M34" i="16"/>
  <c r="M33" i="16"/>
  <c r="H33" i="16"/>
  <c r="M32" i="16"/>
  <c r="H32" i="16"/>
  <c r="E32" i="16"/>
  <c r="M30" i="16"/>
  <c r="M29" i="16"/>
  <c r="E29" i="16"/>
  <c r="M27" i="16"/>
  <c r="H27" i="16"/>
  <c r="M25" i="16"/>
  <c r="E25" i="16"/>
  <c r="M24" i="16"/>
  <c r="E24" i="16"/>
  <c r="M23" i="16"/>
  <c r="M21" i="16"/>
  <c r="H21" i="16"/>
  <c r="M20" i="16"/>
  <c r="E20" i="16"/>
  <c r="M19" i="16"/>
  <c r="M17" i="16"/>
  <c r="E17" i="16"/>
  <c r="M16" i="16"/>
  <c r="M15" i="16"/>
  <c r="H15" i="16"/>
  <c r="E15" i="16"/>
  <c r="M13" i="16"/>
  <c r="H13" i="16"/>
  <c r="M12" i="16"/>
  <c r="H12" i="16"/>
  <c r="E12" i="16"/>
  <c r="M11" i="16"/>
  <c r="H11" i="16"/>
  <c r="N8" i="16"/>
  <c r="K8" i="16"/>
  <c r="E8" i="16"/>
  <c r="A8" i="16"/>
  <c r="W48" i="15"/>
  <c r="V48" i="15"/>
  <c r="U48" i="15"/>
  <c r="N48" i="15"/>
  <c r="M48" i="15"/>
  <c r="K48" i="15"/>
  <c r="I48" i="15"/>
  <c r="H48" i="15"/>
  <c r="F48" i="15"/>
  <c r="E48" i="15"/>
  <c r="A48" i="15"/>
  <c r="W47" i="15"/>
  <c r="V47" i="15"/>
  <c r="U47" i="15"/>
  <c r="S47" i="15"/>
  <c r="N47" i="15"/>
  <c r="M47" i="15"/>
  <c r="K47" i="15"/>
  <c r="I47" i="15"/>
  <c r="H47" i="15"/>
  <c r="F47" i="15"/>
  <c r="E47" i="15"/>
  <c r="A47" i="15"/>
  <c r="W46" i="15"/>
  <c r="V46" i="15"/>
  <c r="U46" i="15"/>
  <c r="N46" i="15"/>
  <c r="M46" i="15"/>
  <c r="K46" i="15"/>
  <c r="I46" i="15"/>
  <c r="H46" i="15"/>
  <c r="F46" i="15"/>
  <c r="E46" i="15"/>
  <c r="A46" i="15"/>
  <c r="H13" i="15" s="1"/>
  <c r="W45" i="15"/>
  <c r="V45" i="15"/>
  <c r="U45" i="15"/>
  <c r="N45" i="15"/>
  <c r="M45" i="15"/>
  <c r="K45" i="15"/>
  <c r="I45" i="15"/>
  <c r="H45" i="15"/>
  <c r="F45" i="15"/>
  <c r="E45" i="15"/>
  <c r="O45" i="15" s="1" a="1"/>
  <c r="O45" i="15" s="1"/>
  <c r="A45" i="15"/>
  <c r="H20" i="15" s="1"/>
  <c r="W44" i="15"/>
  <c r="V44" i="15"/>
  <c r="U44" i="15"/>
  <c r="N44" i="15"/>
  <c r="M44" i="15"/>
  <c r="K44" i="15"/>
  <c r="I44" i="15"/>
  <c r="H44" i="15"/>
  <c r="F44" i="15"/>
  <c r="O44" i="15" s="1" a="1"/>
  <c r="O44" i="15" s="1"/>
  <c r="E44" i="15"/>
  <c r="A44" i="15"/>
  <c r="W43" i="15"/>
  <c r="V43" i="15"/>
  <c r="U43" i="15"/>
  <c r="N43" i="15"/>
  <c r="M43" i="15"/>
  <c r="K43" i="15"/>
  <c r="I43" i="15"/>
  <c r="H43" i="15"/>
  <c r="F43" i="15"/>
  <c r="E43" i="15"/>
  <c r="A43" i="15"/>
  <c r="W42" i="15"/>
  <c r="V42" i="15"/>
  <c r="U42" i="15"/>
  <c r="N42" i="15"/>
  <c r="M42" i="15"/>
  <c r="K42" i="15"/>
  <c r="I42" i="15"/>
  <c r="H42" i="15"/>
  <c r="F42" i="15"/>
  <c r="E42" i="15"/>
  <c r="T42" i="15" s="1"/>
  <c r="A42" i="15"/>
  <c r="E33" i="15" s="1"/>
  <c r="W41" i="15"/>
  <c r="V41" i="15"/>
  <c r="U41" i="15"/>
  <c r="N41" i="15"/>
  <c r="M41" i="15"/>
  <c r="K41" i="15"/>
  <c r="I41" i="15"/>
  <c r="H41" i="15"/>
  <c r="F41" i="15"/>
  <c r="E41" i="15"/>
  <c r="A41" i="15"/>
  <c r="H36" i="15" s="1"/>
  <c r="M38" i="15"/>
  <c r="H38" i="15"/>
  <c r="E38" i="15"/>
  <c r="M37" i="15"/>
  <c r="H37" i="15"/>
  <c r="M36" i="15"/>
  <c r="M34" i="15"/>
  <c r="M33" i="15"/>
  <c r="M32" i="15"/>
  <c r="E32" i="15"/>
  <c r="M30" i="15"/>
  <c r="M29" i="15"/>
  <c r="E29" i="15"/>
  <c r="M27" i="15"/>
  <c r="H27" i="15"/>
  <c r="E27" i="15"/>
  <c r="M25" i="15"/>
  <c r="E25" i="15"/>
  <c r="M24" i="15"/>
  <c r="H24" i="15"/>
  <c r="M23" i="15"/>
  <c r="H23" i="15"/>
  <c r="M21" i="15"/>
  <c r="M20" i="15"/>
  <c r="E20" i="15"/>
  <c r="M19" i="15"/>
  <c r="H19" i="15"/>
  <c r="E19" i="15"/>
  <c r="M17" i="15"/>
  <c r="E17" i="15"/>
  <c r="M16" i="15"/>
  <c r="E16" i="15"/>
  <c r="M15" i="15"/>
  <c r="H15" i="15"/>
  <c r="E15" i="15"/>
  <c r="M13" i="15"/>
  <c r="M12" i="15"/>
  <c r="H12" i="15"/>
  <c r="E12" i="15"/>
  <c r="M11" i="15"/>
  <c r="H11" i="15"/>
  <c r="N8" i="15"/>
  <c r="K8" i="15"/>
  <c r="E8" i="15"/>
  <c r="A8" i="15"/>
  <c r="W48" i="14"/>
  <c r="V48" i="14"/>
  <c r="U48" i="14"/>
  <c r="N48" i="14"/>
  <c r="M48" i="14"/>
  <c r="K48" i="14"/>
  <c r="I48" i="14"/>
  <c r="H48" i="14"/>
  <c r="F48" i="14"/>
  <c r="S48" i="14" s="1"/>
  <c r="E48" i="14"/>
  <c r="A48" i="14"/>
  <c r="W47" i="14"/>
  <c r="V47" i="14"/>
  <c r="U47" i="14"/>
  <c r="N47" i="14"/>
  <c r="M47" i="14"/>
  <c r="K47" i="14"/>
  <c r="I47" i="14"/>
  <c r="H47" i="14"/>
  <c r="F47" i="14"/>
  <c r="R47" i="14" s="1"/>
  <c r="E47" i="14"/>
  <c r="A47" i="14"/>
  <c r="W46" i="14"/>
  <c r="V46" i="14"/>
  <c r="U46" i="14"/>
  <c r="N46" i="14"/>
  <c r="M46" i="14"/>
  <c r="K46" i="14"/>
  <c r="I46" i="14"/>
  <c r="H46" i="14"/>
  <c r="F46" i="14"/>
  <c r="E46" i="14"/>
  <c r="O46" i="14" s="1" a="1"/>
  <c r="O46" i="14" s="1"/>
  <c r="A46" i="14"/>
  <c r="E36" i="14" s="1"/>
  <c r="W45" i="14"/>
  <c r="V45" i="14"/>
  <c r="U45" i="14"/>
  <c r="N45" i="14"/>
  <c r="M45" i="14"/>
  <c r="K45" i="14"/>
  <c r="I45" i="14"/>
  <c r="H45" i="14"/>
  <c r="F45" i="14"/>
  <c r="E45" i="14"/>
  <c r="T45" i="14" s="1"/>
  <c r="A45" i="14"/>
  <c r="W44" i="14"/>
  <c r="V44" i="14"/>
  <c r="U44" i="14"/>
  <c r="N44" i="14"/>
  <c r="M44" i="14"/>
  <c r="K44" i="14"/>
  <c r="I44" i="14"/>
  <c r="H44" i="14"/>
  <c r="F44" i="14"/>
  <c r="E44" i="14"/>
  <c r="A44" i="14"/>
  <c r="H38" i="14" s="1"/>
  <c r="W43" i="14"/>
  <c r="V43" i="14"/>
  <c r="U43" i="14"/>
  <c r="N43" i="14"/>
  <c r="M43" i="14"/>
  <c r="K43" i="14"/>
  <c r="I43" i="14"/>
  <c r="H43" i="14"/>
  <c r="F43" i="14"/>
  <c r="E43" i="14"/>
  <c r="A43" i="14"/>
  <c r="W42" i="14"/>
  <c r="V42" i="14"/>
  <c r="U42" i="14"/>
  <c r="N42" i="14"/>
  <c r="M42" i="14"/>
  <c r="K42" i="14"/>
  <c r="I42" i="14"/>
  <c r="S42" i="14" s="1"/>
  <c r="H42" i="14"/>
  <c r="F42" i="14"/>
  <c r="E42" i="14"/>
  <c r="A42" i="14"/>
  <c r="E28" i="14" s="1"/>
  <c r="W41" i="14"/>
  <c r="V41" i="14"/>
  <c r="U41" i="14"/>
  <c r="N41" i="14"/>
  <c r="M41" i="14"/>
  <c r="K41" i="14"/>
  <c r="I41" i="14"/>
  <c r="H41" i="14"/>
  <c r="F41" i="14"/>
  <c r="E41" i="14"/>
  <c r="A41" i="14"/>
  <c r="H29" i="14" s="1"/>
  <c r="M38" i="14"/>
  <c r="E38" i="14"/>
  <c r="M37" i="14"/>
  <c r="E37" i="14"/>
  <c r="M36" i="14"/>
  <c r="H36" i="14"/>
  <c r="M35" i="14"/>
  <c r="E35" i="14"/>
  <c r="M34" i="14"/>
  <c r="H34" i="14"/>
  <c r="M33" i="14"/>
  <c r="M32" i="14"/>
  <c r="H32" i="14"/>
  <c r="M31" i="14"/>
  <c r="H31" i="14"/>
  <c r="E31" i="14"/>
  <c r="M30" i="14"/>
  <c r="H30" i="14"/>
  <c r="E30" i="14"/>
  <c r="M29" i="14"/>
  <c r="M28" i="14"/>
  <c r="H28" i="14"/>
  <c r="M27" i="14"/>
  <c r="M26" i="14"/>
  <c r="H26" i="14"/>
  <c r="E26" i="14"/>
  <c r="M25" i="14"/>
  <c r="H25" i="14"/>
  <c r="M24" i="14"/>
  <c r="M23" i="14"/>
  <c r="E23" i="14"/>
  <c r="M22" i="14"/>
  <c r="H22" i="14"/>
  <c r="M21" i="14"/>
  <c r="H21" i="14"/>
  <c r="E21" i="14"/>
  <c r="M20" i="14"/>
  <c r="H20" i="14"/>
  <c r="M19" i="14"/>
  <c r="E19" i="14"/>
  <c r="M18" i="14"/>
  <c r="H18" i="14"/>
  <c r="E18" i="14"/>
  <c r="M17" i="14"/>
  <c r="H17" i="14"/>
  <c r="M16" i="14"/>
  <c r="H16" i="14"/>
  <c r="E16" i="14"/>
  <c r="M15" i="14"/>
  <c r="M14" i="14"/>
  <c r="H14" i="14"/>
  <c r="E14" i="14"/>
  <c r="M13" i="14"/>
  <c r="E13" i="14"/>
  <c r="M12" i="14"/>
  <c r="H12" i="14"/>
  <c r="M11" i="14"/>
  <c r="E11" i="14"/>
  <c r="N8" i="14"/>
  <c r="K8" i="14"/>
  <c r="E8" i="14"/>
  <c r="A8" i="14"/>
  <c r="W48" i="13"/>
  <c r="V48" i="13"/>
  <c r="U48" i="13"/>
  <c r="N48" i="13"/>
  <c r="M48" i="13"/>
  <c r="K48" i="13"/>
  <c r="I48" i="13"/>
  <c r="H48" i="13"/>
  <c r="F48" i="13"/>
  <c r="Q48" i="13" s="1"/>
  <c r="E48" i="13"/>
  <c r="S48" i="13" s="1"/>
  <c r="A48" i="13"/>
  <c r="W47" i="13"/>
  <c r="V47" i="13"/>
  <c r="U47" i="13"/>
  <c r="N47" i="13"/>
  <c r="M47" i="13"/>
  <c r="K47" i="13"/>
  <c r="I47" i="13"/>
  <c r="H47" i="13"/>
  <c r="F47" i="13"/>
  <c r="E47" i="13"/>
  <c r="A47" i="13"/>
  <c r="W46" i="13"/>
  <c r="V46" i="13"/>
  <c r="U46" i="13"/>
  <c r="N46" i="13"/>
  <c r="M46" i="13"/>
  <c r="K46" i="13"/>
  <c r="I46" i="13"/>
  <c r="H46" i="13"/>
  <c r="F46" i="13"/>
  <c r="E46" i="13"/>
  <c r="A46" i="13"/>
  <c r="E36" i="13" s="1"/>
  <c r="W45" i="13"/>
  <c r="V45" i="13"/>
  <c r="U45" i="13"/>
  <c r="N45" i="13"/>
  <c r="M45" i="13"/>
  <c r="K45" i="13"/>
  <c r="I45" i="13"/>
  <c r="H45" i="13"/>
  <c r="F45" i="13"/>
  <c r="E45" i="13"/>
  <c r="A45" i="13"/>
  <c r="W44" i="13"/>
  <c r="V44" i="13"/>
  <c r="U44" i="13"/>
  <c r="S44" i="13"/>
  <c r="N44" i="13"/>
  <c r="M44" i="13"/>
  <c r="K44" i="13"/>
  <c r="I44" i="13"/>
  <c r="H44" i="13"/>
  <c r="F44" i="13"/>
  <c r="E44" i="13"/>
  <c r="A44" i="13"/>
  <c r="W43" i="13"/>
  <c r="V43" i="13"/>
  <c r="U43" i="13"/>
  <c r="N43" i="13"/>
  <c r="M43" i="13"/>
  <c r="K43" i="13"/>
  <c r="I43" i="13"/>
  <c r="H43" i="13"/>
  <c r="F43" i="13"/>
  <c r="E43" i="13"/>
  <c r="A43" i="13"/>
  <c r="H35" i="13" s="1"/>
  <c r="W42" i="13"/>
  <c r="V42" i="13"/>
  <c r="U42" i="13"/>
  <c r="N42" i="13"/>
  <c r="M42" i="13"/>
  <c r="K42" i="13"/>
  <c r="I42" i="13"/>
  <c r="H42" i="13"/>
  <c r="F42" i="13"/>
  <c r="E42" i="13"/>
  <c r="A42" i="13"/>
  <c r="E28" i="13" s="1"/>
  <c r="W41" i="13"/>
  <c r="V41" i="13"/>
  <c r="U41" i="13"/>
  <c r="N41" i="13"/>
  <c r="M41" i="13"/>
  <c r="K41" i="13"/>
  <c r="I41" i="13"/>
  <c r="H41" i="13"/>
  <c r="F41" i="13"/>
  <c r="S41" i="13" s="1"/>
  <c r="E41" i="13"/>
  <c r="A41" i="13"/>
  <c r="E34" i="13" s="1"/>
  <c r="M38" i="13"/>
  <c r="E38" i="13"/>
  <c r="M37" i="13"/>
  <c r="E37" i="13"/>
  <c r="M36" i="13"/>
  <c r="H36" i="13"/>
  <c r="M35" i="13"/>
  <c r="E35" i="13"/>
  <c r="M34" i="13"/>
  <c r="H34" i="13"/>
  <c r="M33" i="13"/>
  <c r="M32" i="13"/>
  <c r="H32" i="13"/>
  <c r="M31" i="13"/>
  <c r="E31" i="13"/>
  <c r="M30" i="13"/>
  <c r="H30" i="13"/>
  <c r="E30" i="13"/>
  <c r="M29" i="13"/>
  <c r="H29" i="13"/>
  <c r="M28" i="13"/>
  <c r="H28" i="13"/>
  <c r="M27" i="13"/>
  <c r="M26" i="13"/>
  <c r="H26" i="13"/>
  <c r="E26" i="13"/>
  <c r="M25" i="13"/>
  <c r="H25" i="13"/>
  <c r="M24" i="13"/>
  <c r="M23" i="13"/>
  <c r="E23" i="13"/>
  <c r="M22" i="13"/>
  <c r="H22" i="13"/>
  <c r="M21" i="13"/>
  <c r="H21" i="13"/>
  <c r="E21" i="13"/>
  <c r="M20" i="13"/>
  <c r="H20" i="13"/>
  <c r="E20" i="13"/>
  <c r="M19" i="13"/>
  <c r="M18" i="13"/>
  <c r="H18" i="13"/>
  <c r="E18" i="13"/>
  <c r="M17" i="13"/>
  <c r="H17" i="13"/>
  <c r="M16" i="13"/>
  <c r="H16" i="13"/>
  <c r="M15" i="13"/>
  <c r="M14" i="13"/>
  <c r="H14" i="13"/>
  <c r="E14" i="13"/>
  <c r="M13" i="13"/>
  <c r="E13" i="13"/>
  <c r="M12" i="13"/>
  <c r="M11" i="13"/>
  <c r="E11" i="13"/>
  <c r="N8" i="13"/>
  <c r="K8" i="13"/>
  <c r="E8" i="13"/>
  <c r="A8" i="13"/>
  <c r="W48" i="12"/>
  <c r="V48" i="12"/>
  <c r="U48" i="12"/>
  <c r="N48" i="12"/>
  <c r="M48" i="12"/>
  <c r="K48" i="12"/>
  <c r="I48" i="12"/>
  <c r="H48" i="12"/>
  <c r="F48" i="12"/>
  <c r="E48" i="12"/>
  <c r="A48" i="12"/>
  <c r="W47" i="12"/>
  <c r="V47" i="12"/>
  <c r="U47" i="12"/>
  <c r="N47" i="12"/>
  <c r="M47" i="12"/>
  <c r="K47" i="12"/>
  <c r="I47" i="12"/>
  <c r="H47" i="12"/>
  <c r="F47" i="12"/>
  <c r="E47" i="12"/>
  <c r="A47" i="12"/>
  <c r="W46" i="12"/>
  <c r="V46" i="12"/>
  <c r="U46" i="12"/>
  <c r="N46" i="12"/>
  <c r="M46" i="12"/>
  <c r="K46" i="12"/>
  <c r="I46" i="12"/>
  <c r="H46" i="12"/>
  <c r="F46" i="12"/>
  <c r="E46" i="12"/>
  <c r="A46" i="12"/>
  <c r="E36" i="12" s="1"/>
  <c r="W45" i="12"/>
  <c r="V45" i="12"/>
  <c r="U45" i="12"/>
  <c r="N45" i="12"/>
  <c r="M45" i="12"/>
  <c r="K45" i="12"/>
  <c r="I45" i="12"/>
  <c r="H45" i="12"/>
  <c r="F45" i="12"/>
  <c r="E45" i="12"/>
  <c r="A45" i="12"/>
  <c r="H30" i="12" s="1"/>
  <c r="W44" i="12"/>
  <c r="V44" i="12"/>
  <c r="U44" i="12"/>
  <c r="N44" i="12"/>
  <c r="M44" i="12"/>
  <c r="K44" i="12"/>
  <c r="I44" i="12"/>
  <c r="H44" i="12"/>
  <c r="F44" i="12"/>
  <c r="O44" i="12" s="1" a="1"/>
  <c r="O44" i="12" s="1"/>
  <c r="E44" i="12"/>
  <c r="A44" i="12"/>
  <c r="W43" i="12"/>
  <c r="V43" i="12"/>
  <c r="U43" i="12"/>
  <c r="N43" i="12"/>
  <c r="M43" i="12"/>
  <c r="K43" i="12"/>
  <c r="I43" i="12"/>
  <c r="H43" i="12"/>
  <c r="F43" i="12"/>
  <c r="E43" i="12"/>
  <c r="A43" i="12"/>
  <c r="H35" i="12" s="1"/>
  <c r="W42" i="12"/>
  <c r="V42" i="12"/>
  <c r="U42" i="12"/>
  <c r="N42" i="12"/>
  <c r="M42" i="12"/>
  <c r="K42" i="12"/>
  <c r="I42" i="12"/>
  <c r="H42" i="12"/>
  <c r="F42" i="12"/>
  <c r="E42" i="12"/>
  <c r="A42" i="12"/>
  <c r="E33" i="12" s="1"/>
  <c r="W41" i="12"/>
  <c r="V41" i="12"/>
  <c r="U41" i="12"/>
  <c r="N41" i="12"/>
  <c r="M41" i="12"/>
  <c r="K41" i="12"/>
  <c r="I41" i="12"/>
  <c r="H41" i="12"/>
  <c r="F41" i="12"/>
  <c r="E41" i="12"/>
  <c r="A41" i="12"/>
  <c r="E34" i="12" s="1"/>
  <c r="M38" i="12"/>
  <c r="H38" i="12"/>
  <c r="M37" i="12"/>
  <c r="M36" i="12"/>
  <c r="M35" i="12"/>
  <c r="E35" i="12"/>
  <c r="M34" i="12"/>
  <c r="M33" i="12"/>
  <c r="M32" i="12"/>
  <c r="E32" i="12"/>
  <c r="M31" i="12"/>
  <c r="H31" i="12"/>
  <c r="E31" i="12"/>
  <c r="M30" i="12"/>
  <c r="E30" i="12"/>
  <c r="M29" i="12"/>
  <c r="E29" i="12"/>
  <c r="M28" i="12"/>
  <c r="H28" i="12"/>
  <c r="M27" i="12"/>
  <c r="E27" i="12"/>
  <c r="M26" i="12"/>
  <c r="H26" i="12"/>
  <c r="M25" i="12"/>
  <c r="M24" i="12"/>
  <c r="H24" i="12"/>
  <c r="E24" i="12"/>
  <c r="M23" i="12"/>
  <c r="H23" i="12"/>
  <c r="E23" i="12"/>
  <c r="M22" i="12"/>
  <c r="H22" i="12"/>
  <c r="M21" i="12"/>
  <c r="H21" i="12"/>
  <c r="M20" i="12"/>
  <c r="H20" i="12"/>
  <c r="E20" i="12"/>
  <c r="M19" i="12"/>
  <c r="E19" i="12"/>
  <c r="M18" i="12"/>
  <c r="E18" i="12"/>
  <c r="M17" i="12"/>
  <c r="E17" i="12"/>
  <c r="M16" i="12"/>
  <c r="E16" i="12"/>
  <c r="M15" i="12"/>
  <c r="H15" i="12"/>
  <c r="M14" i="12"/>
  <c r="H14" i="12"/>
  <c r="M13" i="12"/>
  <c r="M12" i="12"/>
  <c r="H12" i="12"/>
  <c r="E12" i="12"/>
  <c r="M11" i="12"/>
  <c r="N8" i="12"/>
  <c r="K8" i="12"/>
  <c r="E8" i="12"/>
  <c r="A8" i="12"/>
  <c r="W48" i="11"/>
  <c r="V48" i="11"/>
  <c r="U48" i="11"/>
  <c r="N48" i="11"/>
  <c r="M48" i="11"/>
  <c r="K48" i="11"/>
  <c r="I48" i="11"/>
  <c r="H48" i="11"/>
  <c r="F48" i="11"/>
  <c r="T48" i="11" s="1"/>
  <c r="E48" i="11"/>
  <c r="A48" i="11"/>
  <c r="H22" i="11" s="1"/>
  <c r="W47" i="11"/>
  <c r="V47" i="11"/>
  <c r="U47" i="11"/>
  <c r="N47" i="11"/>
  <c r="M47" i="11"/>
  <c r="K47" i="11"/>
  <c r="I47" i="11"/>
  <c r="H47" i="11"/>
  <c r="F47" i="11"/>
  <c r="E47" i="11"/>
  <c r="A47" i="11"/>
  <c r="W46" i="11"/>
  <c r="V46" i="11"/>
  <c r="U46" i="11"/>
  <c r="N46" i="11"/>
  <c r="M46" i="11"/>
  <c r="K46" i="11"/>
  <c r="I46" i="11"/>
  <c r="H46" i="11"/>
  <c r="F46" i="11"/>
  <c r="E46" i="11"/>
  <c r="A46" i="11"/>
  <c r="E36" i="11" s="1"/>
  <c r="W45" i="11"/>
  <c r="V45" i="11"/>
  <c r="U45" i="11"/>
  <c r="N45" i="11"/>
  <c r="M45" i="11"/>
  <c r="K45" i="11"/>
  <c r="I45" i="11"/>
  <c r="H45" i="11"/>
  <c r="F45" i="11"/>
  <c r="E45" i="11"/>
  <c r="A45" i="11"/>
  <c r="H16" i="11" s="1"/>
  <c r="W44" i="11"/>
  <c r="V44" i="11"/>
  <c r="U44" i="11"/>
  <c r="N44" i="11"/>
  <c r="M44" i="11"/>
  <c r="K44" i="11"/>
  <c r="I44" i="11"/>
  <c r="H44" i="11"/>
  <c r="F44" i="11"/>
  <c r="E44" i="11"/>
  <c r="A44" i="11"/>
  <c r="H24" i="11" s="1"/>
  <c r="W43" i="11"/>
  <c r="V43" i="11"/>
  <c r="U43" i="11"/>
  <c r="N43" i="11"/>
  <c r="M43" i="11"/>
  <c r="K43" i="11"/>
  <c r="I43" i="11"/>
  <c r="H43" i="11"/>
  <c r="F43" i="11"/>
  <c r="R43" i="11" s="1"/>
  <c r="E43" i="11"/>
  <c r="A43" i="11"/>
  <c r="H35" i="11" s="1"/>
  <c r="W42" i="11"/>
  <c r="V42" i="11"/>
  <c r="U42" i="11"/>
  <c r="N42" i="11"/>
  <c r="M42" i="11"/>
  <c r="K42" i="11"/>
  <c r="I42" i="11"/>
  <c r="H42" i="11"/>
  <c r="F42" i="11"/>
  <c r="E42" i="11"/>
  <c r="A42" i="11"/>
  <c r="E28" i="11" s="1"/>
  <c r="W41" i="11"/>
  <c r="V41" i="11"/>
  <c r="U41" i="11"/>
  <c r="N41" i="11"/>
  <c r="M41" i="11"/>
  <c r="K41" i="11"/>
  <c r="I41" i="11"/>
  <c r="H41" i="11"/>
  <c r="F41" i="11"/>
  <c r="E41" i="11"/>
  <c r="T41" i="11" s="1"/>
  <c r="A41" i="11"/>
  <c r="E11" i="11" s="1"/>
  <c r="M38" i="11"/>
  <c r="H38" i="11"/>
  <c r="E38" i="11"/>
  <c r="M37" i="11"/>
  <c r="E37" i="11"/>
  <c r="M36" i="11"/>
  <c r="H36" i="11"/>
  <c r="M35" i="11"/>
  <c r="M34" i="11"/>
  <c r="H34" i="11"/>
  <c r="M33" i="11"/>
  <c r="M32" i="11"/>
  <c r="H32" i="11"/>
  <c r="E32" i="11"/>
  <c r="M31" i="11"/>
  <c r="M30" i="11"/>
  <c r="H30" i="11"/>
  <c r="E30" i="11"/>
  <c r="M29" i="11"/>
  <c r="E29" i="11"/>
  <c r="M28" i="11"/>
  <c r="M27" i="11"/>
  <c r="E27" i="11"/>
  <c r="M26" i="11"/>
  <c r="M25" i="11"/>
  <c r="H25" i="11"/>
  <c r="M24" i="11"/>
  <c r="M23" i="11"/>
  <c r="H23" i="11"/>
  <c r="E23" i="11"/>
  <c r="M22" i="11"/>
  <c r="M21" i="11"/>
  <c r="H21" i="11"/>
  <c r="E21" i="11"/>
  <c r="M20" i="11"/>
  <c r="H20" i="11"/>
  <c r="E20" i="11"/>
  <c r="M19" i="11"/>
  <c r="M18" i="11"/>
  <c r="H18" i="11"/>
  <c r="M17" i="11"/>
  <c r="H17" i="11"/>
  <c r="M16" i="11"/>
  <c r="M15" i="11"/>
  <c r="H15" i="11"/>
  <c r="M14" i="11"/>
  <c r="E14" i="11"/>
  <c r="M13" i="11"/>
  <c r="E13" i="11"/>
  <c r="M12" i="11"/>
  <c r="H12" i="11"/>
  <c r="E12" i="11"/>
  <c r="M11" i="11"/>
  <c r="N8" i="11"/>
  <c r="K8" i="11"/>
  <c r="E8" i="11"/>
  <c r="A8" i="11"/>
  <c r="W48" i="10"/>
  <c r="V48" i="10"/>
  <c r="U48" i="10"/>
  <c r="N48" i="10"/>
  <c r="M48" i="10"/>
  <c r="K48" i="10"/>
  <c r="I48" i="10"/>
  <c r="H48" i="10"/>
  <c r="F48" i="10"/>
  <c r="E48" i="10"/>
  <c r="A48" i="10"/>
  <c r="W47" i="10"/>
  <c r="V47" i="10"/>
  <c r="U47" i="10"/>
  <c r="N47" i="10"/>
  <c r="M47" i="10"/>
  <c r="K47" i="10"/>
  <c r="I47" i="10"/>
  <c r="H47" i="10"/>
  <c r="F47" i="10"/>
  <c r="E47" i="10"/>
  <c r="R47" i="10" s="1"/>
  <c r="A47" i="10"/>
  <c r="W46" i="10"/>
  <c r="V46" i="10"/>
  <c r="U46" i="10"/>
  <c r="N46" i="10"/>
  <c r="M46" i="10"/>
  <c r="K46" i="10"/>
  <c r="I46" i="10"/>
  <c r="H46" i="10"/>
  <c r="F46" i="10"/>
  <c r="O46" i="10" s="1" a="1"/>
  <c r="O46" i="10" s="1"/>
  <c r="E46" i="10"/>
  <c r="A46" i="10"/>
  <c r="E36" i="10" s="1"/>
  <c r="W45" i="10"/>
  <c r="V45" i="10"/>
  <c r="U45" i="10"/>
  <c r="N45" i="10"/>
  <c r="M45" i="10"/>
  <c r="K45" i="10"/>
  <c r="I45" i="10"/>
  <c r="H45" i="10"/>
  <c r="F45" i="10"/>
  <c r="E45" i="10"/>
  <c r="A45" i="10"/>
  <c r="W44" i="10"/>
  <c r="V44" i="10"/>
  <c r="U44" i="10"/>
  <c r="N44" i="10"/>
  <c r="M44" i="10"/>
  <c r="K44" i="10"/>
  <c r="I44" i="10"/>
  <c r="H44" i="10"/>
  <c r="F44" i="10"/>
  <c r="E44" i="10"/>
  <c r="A44" i="10"/>
  <c r="H12" i="10" s="1"/>
  <c r="W43" i="10"/>
  <c r="V43" i="10"/>
  <c r="U43" i="10"/>
  <c r="N43" i="10"/>
  <c r="M43" i="10"/>
  <c r="K43" i="10"/>
  <c r="I43" i="10"/>
  <c r="H43" i="10"/>
  <c r="F43" i="10"/>
  <c r="E43" i="10"/>
  <c r="A43" i="10"/>
  <c r="W42" i="10"/>
  <c r="V42" i="10"/>
  <c r="U42" i="10"/>
  <c r="N42" i="10"/>
  <c r="M42" i="10"/>
  <c r="K42" i="10"/>
  <c r="I42" i="10"/>
  <c r="H42" i="10"/>
  <c r="F42" i="10"/>
  <c r="Q42" i="10" s="1"/>
  <c r="E42" i="10"/>
  <c r="O42" i="10" s="1" a="1"/>
  <c r="O42" i="10" s="1"/>
  <c r="A42" i="10"/>
  <c r="H19" i="10" s="1"/>
  <c r="W41" i="10"/>
  <c r="V41" i="10"/>
  <c r="U41" i="10"/>
  <c r="N41" i="10"/>
  <c r="M41" i="10"/>
  <c r="K41" i="10"/>
  <c r="I41" i="10"/>
  <c r="H41" i="10"/>
  <c r="F41" i="10"/>
  <c r="E41" i="10"/>
  <c r="A41" i="10"/>
  <c r="E34" i="10" s="1"/>
  <c r="M38" i="10"/>
  <c r="E38" i="10"/>
  <c r="M37" i="10"/>
  <c r="M36" i="10"/>
  <c r="M34" i="10"/>
  <c r="M33" i="10"/>
  <c r="H33" i="10"/>
  <c r="M32" i="10"/>
  <c r="H32" i="10"/>
  <c r="E32" i="10"/>
  <c r="M30" i="10"/>
  <c r="E30" i="10"/>
  <c r="M29" i="10"/>
  <c r="E29" i="10"/>
  <c r="M27" i="10"/>
  <c r="E27" i="10"/>
  <c r="M25" i="10"/>
  <c r="H25" i="10"/>
  <c r="E25" i="10"/>
  <c r="M24" i="10"/>
  <c r="M23" i="10"/>
  <c r="H23" i="10"/>
  <c r="M21" i="10"/>
  <c r="H21" i="10"/>
  <c r="M20" i="10"/>
  <c r="E20" i="10"/>
  <c r="M19" i="10"/>
  <c r="E19" i="10"/>
  <c r="M17" i="10"/>
  <c r="H17" i="10"/>
  <c r="M16" i="10"/>
  <c r="M15" i="10"/>
  <c r="H15" i="10"/>
  <c r="E15" i="10"/>
  <c r="M13" i="10"/>
  <c r="M12" i="10"/>
  <c r="E12" i="10"/>
  <c r="M11" i="10"/>
  <c r="H11" i="10"/>
  <c r="N8" i="10"/>
  <c r="K8" i="10"/>
  <c r="E8" i="10"/>
  <c r="A8" i="10"/>
  <c r="W48" i="9"/>
  <c r="V48" i="9"/>
  <c r="U48" i="9"/>
  <c r="N48" i="9"/>
  <c r="M48" i="9"/>
  <c r="K48" i="9"/>
  <c r="I48" i="9"/>
  <c r="H48" i="9"/>
  <c r="F48" i="9"/>
  <c r="E48" i="9"/>
  <c r="A48" i="9"/>
  <c r="W47" i="9"/>
  <c r="V47" i="9"/>
  <c r="U47" i="9"/>
  <c r="N47" i="9"/>
  <c r="M47" i="9"/>
  <c r="K47" i="9"/>
  <c r="I47" i="9"/>
  <c r="H47" i="9"/>
  <c r="F47" i="9"/>
  <c r="R47" i="9" s="1"/>
  <c r="E47" i="9"/>
  <c r="S47" i="9" s="1"/>
  <c r="A47" i="9"/>
  <c r="W46" i="9"/>
  <c r="V46" i="9"/>
  <c r="U46" i="9"/>
  <c r="N46" i="9"/>
  <c r="M46" i="9"/>
  <c r="K46" i="9"/>
  <c r="I46" i="9"/>
  <c r="H46" i="9"/>
  <c r="F46" i="9"/>
  <c r="E46" i="9"/>
  <c r="A46" i="9"/>
  <c r="E36" i="9" s="1"/>
  <c r="W45" i="9"/>
  <c r="V45" i="9"/>
  <c r="U45" i="9"/>
  <c r="N45" i="9"/>
  <c r="M45" i="9"/>
  <c r="K45" i="9"/>
  <c r="I45" i="9"/>
  <c r="H45" i="9"/>
  <c r="F45" i="9"/>
  <c r="E45" i="9"/>
  <c r="A45" i="9"/>
  <c r="H20" i="9" s="1"/>
  <c r="W44" i="9"/>
  <c r="V44" i="9"/>
  <c r="U44" i="9"/>
  <c r="N44" i="9"/>
  <c r="M44" i="9"/>
  <c r="K44" i="9"/>
  <c r="I44" i="9"/>
  <c r="H44" i="9"/>
  <c r="F44" i="9"/>
  <c r="E44" i="9"/>
  <c r="A44" i="9"/>
  <c r="W43" i="9"/>
  <c r="V43" i="9"/>
  <c r="U43" i="9"/>
  <c r="N43" i="9"/>
  <c r="M43" i="9"/>
  <c r="K43" i="9"/>
  <c r="I43" i="9"/>
  <c r="H43" i="9"/>
  <c r="F43" i="9"/>
  <c r="E43" i="9"/>
  <c r="A43" i="9"/>
  <c r="E27" i="9" s="1"/>
  <c r="W42" i="9"/>
  <c r="V42" i="9"/>
  <c r="U42" i="9"/>
  <c r="N42" i="9"/>
  <c r="M42" i="9"/>
  <c r="K42" i="9"/>
  <c r="I42" i="9"/>
  <c r="H42" i="9"/>
  <c r="F42" i="9"/>
  <c r="S42" i="9" s="1"/>
  <c r="E42" i="9"/>
  <c r="A42" i="9"/>
  <c r="H37" i="9" s="1"/>
  <c r="W41" i="9"/>
  <c r="V41" i="9"/>
  <c r="U41" i="9"/>
  <c r="N41" i="9"/>
  <c r="M41" i="9"/>
  <c r="K41" i="9"/>
  <c r="I41" i="9"/>
  <c r="H41" i="9"/>
  <c r="F41" i="9"/>
  <c r="E41" i="9"/>
  <c r="A41" i="9"/>
  <c r="E34" i="9" s="1"/>
  <c r="M38" i="9"/>
  <c r="H38" i="9"/>
  <c r="E38" i="9"/>
  <c r="M37" i="9"/>
  <c r="M36" i="9"/>
  <c r="M34" i="9"/>
  <c r="M33" i="9"/>
  <c r="H33" i="9"/>
  <c r="M32" i="9"/>
  <c r="H32" i="9"/>
  <c r="E32" i="9"/>
  <c r="M30" i="9"/>
  <c r="E30" i="9"/>
  <c r="M29" i="9"/>
  <c r="E29" i="9"/>
  <c r="M27" i="9"/>
  <c r="H27" i="9"/>
  <c r="M25" i="9"/>
  <c r="H25" i="9"/>
  <c r="E25" i="9"/>
  <c r="M24" i="9"/>
  <c r="H24" i="9"/>
  <c r="E24" i="9"/>
  <c r="M23" i="9"/>
  <c r="M21" i="9"/>
  <c r="H21" i="9"/>
  <c r="M20" i="9"/>
  <c r="E20" i="9"/>
  <c r="M19" i="9"/>
  <c r="H19" i="9"/>
  <c r="E19" i="9"/>
  <c r="M17" i="9"/>
  <c r="H17" i="9"/>
  <c r="E17" i="9"/>
  <c r="M16" i="9"/>
  <c r="E16" i="9"/>
  <c r="M15" i="9"/>
  <c r="H15" i="9"/>
  <c r="E15" i="9"/>
  <c r="M13" i="9"/>
  <c r="H13" i="9"/>
  <c r="M12" i="9"/>
  <c r="H12" i="9"/>
  <c r="E12" i="9"/>
  <c r="M11" i="9"/>
  <c r="H11" i="9"/>
  <c r="N8" i="9"/>
  <c r="K8" i="9"/>
  <c r="E8" i="9"/>
  <c r="A8" i="9"/>
  <c r="W48" i="8"/>
  <c r="V48" i="8"/>
  <c r="U48" i="8"/>
  <c r="N48" i="8"/>
  <c r="M48" i="8"/>
  <c r="K48" i="8"/>
  <c r="I48" i="8"/>
  <c r="H48" i="8"/>
  <c r="F48" i="8"/>
  <c r="E48" i="8"/>
  <c r="A48" i="8"/>
  <c r="W47" i="8"/>
  <c r="V47" i="8"/>
  <c r="U47" i="8"/>
  <c r="N47" i="8"/>
  <c r="M47" i="8"/>
  <c r="K47" i="8"/>
  <c r="I47" i="8"/>
  <c r="H47" i="8"/>
  <c r="F47" i="8"/>
  <c r="E47" i="8"/>
  <c r="A47" i="8"/>
  <c r="W46" i="8"/>
  <c r="V46" i="8"/>
  <c r="U46" i="8"/>
  <c r="N46" i="8"/>
  <c r="M46" i="8"/>
  <c r="K46" i="8"/>
  <c r="I46" i="8"/>
  <c r="H46" i="8"/>
  <c r="F46" i="8"/>
  <c r="E46" i="8"/>
  <c r="A46" i="8"/>
  <c r="E36" i="8" s="1"/>
  <c r="W45" i="8"/>
  <c r="V45" i="8"/>
  <c r="U45" i="8"/>
  <c r="N45" i="8"/>
  <c r="M45" i="8"/>
  <c r="K45" i="8"/>
  <c r="I45" i="8"/>
  <c r="H45" i="8"/>
  <c r="F45" i="8"/>
  <c r="E45" i="8"/>
  <c r="O45" i="8" s="1" a="1"/>
  <c r="O45" i="8" s="1"/>
  <c r="A45" i="8"/>
  <c r="H20" i="8" s="1"/>
  <c r="W44" i="8"/>
  <c r="V44" i="8"/>
  <c r="U44" i="8"/>
  <c r="N44" i="8"/>
  <c r="M44" i="8"/>
  <c r="K44" i="8"/>
  <c r="I44" i="8"/>
  <c r="H44" i="8"/>
  <c r="F44" i="8"/>
  <c r="E44" i="8"/>
  <c r="A44" i="8"/>
  <c r="W43" i="8"/>
  <c r="V43" i="8"/>
  <c r="U43" i="8"/>
  <c r="N43" i="8"/>
  <c r="M43" i="8"/>
  <c r="K43" i="8"/>
  <c r="I43" i="8"/>
  <c r="S43" i="8" s="1"/>
  <c r="H43" i="8"/>
  <c r="F43" i="8"/>
  <c r="E43" i="8"/>
  <c r="A43" i="8"/>
  <c r="W42" i="8"/>
  <c r="V42" i="8"/>
  <c r="U42" i="8"/>
  <c r="N42" i="8"/>
  <c r="M42" i="8"/>
  <c r="K42" i="8"/>
  <c r="I42" i="8"/>
  <c r="H42" i="8"/>
  <c r="F42" i="8"/>
  <c r="E42" i="8"/>
  <c r="A42" i="8"/>
  <c r="H19" i="8" s="1"/>
  <c r="W41" i="8"/>
  <c r="V41" i="8"/>
  <c r="U41" i="8"/>
  <c r="N41" i="8"/>
  <c r="M41" i="8"/>
  <c r="K41" i="8"/>
  <c r="I41" i="8"/>
  <c r="H41" i="8"/>
  <c r="O41" i="8" s="1" a="1"/>
  <c r="O41" i="8" s="1"/>
  <c r="F41" i="8"/>
  <c r="E41" i="8"/>
  <c r="A41" i="8"/>
  <c r="H36" i="8" s="1"/>
  <c r="M38" i="8"/>
  <c r="H38" i="8"/>
  <c r="E38" i="8"/>
  <c r="M37" i="8"/>
  <c r="M36" i="8"/>
  <c r="M34" i="8"/>
  <c r="M33" i="8"/>
  <c r="H33" i="8"/>
  <c r="M32" i="8"/>
  <c r="H32" i="8"/>
  <c r="E32" i="8"/>
  <c r="M30" i="8"/>
  <c r="E30" i="8"/>
  <c r="M29" i="8"/>
  <c r="E29" i="8"/>
  <c r="M27" i="8"/>
  <c r="H27" i="8"/>
  <c r="E27" i="8"/>
  <c r="M25" i="8"/>
  <c r="H25" i="8"/>
  <c r="E25" i="8"/>
  <c r="M24" i="8"/>
  <c r="H24" i="8"/>
  <c r="E24" i="8"/>
  <c r="M23" i="8"/>
  <c r="H23" i="8"/>
  <c r="M21" i="8"/>
  <c r="H21" i="8"/>
  <c r="M20" i="8"/>
  <c r="E20" i="8"/>
  <c r="M19" i="8"/>
  <c r="E19" i="8"/>
  <c r="M17" i="8"/>
  <c r="H17" i="8"/>
  <c r="E17" i="8"/>
  <c r="M16" i="8"/>
  <c r="E16" i="8"/>
  <c r="M15" i="8"/>
  <c r="H15" i="8"/>
  <c r="E15" i="8"/>
  <c r="M13" i="8"/>
  <c r="H13" i="8"/>
  <c r="M12" i="8"/>
  <c r="H12" i="8"/>
  <c r="E12" i="8"/>
  <c r="M11" i="8"/>
  <c r="H11" i="8"/>
  <c r="N8" i="8"/>
  <c r="K8" i="8"/>
  <c r="E8" i="8"/>
  <c r="A8" i="8"/>
  <c r="W48" i="7"/>
  <c r="V48" i="7"/>
  <c r="U48" i="7"/>
  <c r="N48" i="7"/>
  <c r="M48" i="7"/>
  <c r="K48" i="7"/>
  <c r="I48" i="7"/>
  <c r="H48" i="7"/>
  <c r="F48" i="7"/>
  <c r="E48" i="7"/>
  <c r="O48" i="7" s="1" a="1"/>
  <c r="O48" i="7" s="1"/>
  <c r="A48" i="7"/>
  <c r="W47" i="7"/>
  <c r="V47" i="7"/>
  <c r="U47" i="7"/>
  <c r="N47" i="7"/>
  <c r="M47" i="7"/>
  <c r="K47" i="7"/>
  <c r="I47" i="7"/>
  <c r="S47" i="7" s="1"/>
  <c r="H47" i="7"/>
  <c r="F47" i="7"/>
  <c r="E47" i="7"/>
  <c r="A47" i="7"/>
  <c r="W46" i="7"/>
  <c r="V46" i="7"/>
  <c r="U46" i="7"/>
  <c r="N46" i="7"/>
  <c r="M46" i="7"/>
  <c r="K46" i="7"/>
  <c r="I46" i="7"/>
  <c r="H46" i="7"/>
  <c r="F46" i="7"/>
  <c r="E46" i="7"/>
  <c r="A46" i="7"/>
  <c r="E36" i="7" s="1"/>
  <c r="W45" i="7"/>
  <c r="V45" i="7"/>
  <c r="U45" i="7"/>
  <c r="N45" i="7"/>
  <c r="M45" i="7"/>
  <c r="K45" i="7"/>
  <c r="I45" i="7"/>
  <c r="H45" i="7"/>
  <c r="O45" i="7" s="1" a="1"/>
  <c r="O45" i="7" s="1"/>
  <c r="F45" i="7"/>
  <c r="E45" i="7"/>
  <c r="A45" i="7"/>
  <c r="H30" i="7" s="1"/>
  <c r="W44" i="7"/>
  <c r="V44" i="7"/>
  <c r="U44" i="7"/>
  <c r="N44" i="7"/>
  <c r="M44" i="7"/>
  <c r="K44" i="7"/>
  <c r="I44" i="7"/>
  <c r="H44" i="7"/>
  <c r="F44" i="7"/>
  <c r="E44" i="7"/>
  <c r="A44" i="7"/>
  <c r="H31" i="7" s="1"/>
  <c r="W43" i="7"/>
  <c r="V43" i="7"/>
  <c r="U43" i="7"/>
  <c r="N43" i="7"/>
  <c r="M43" i="7"/>
  <c r="K43" i="7"/>
  <c r="I43" i="7"/>
  <c r="H43" i="7"/>
  <c r="F43" i="7"/>
  <c r="E43" i="7"/>
  <c r="R43" i="7" s="1"/>
  <c r="A43" i="7"/>
  <c r="H35" i="7" s="1"/>
  <c r="W42" i="7"/>
  <c r="V42" i="7"/>
  <c r="U42" i="7"/>
  <c r="N42" i="7"/>
  <c r="M42" i="7"/>
  <c r="K42" i="7"/>
  <c r="I42" i="7"/>
  <c r="S42" i="7" s="1"/>
  <c r="H42" i="7"/>
  <c r="F42" i="7"/>
  <c r="E42" i="7"/>
  <c r="A42" i="7"/>
  <c r="E28" i="7" s="1"/>
  <c r="W41" i="7"/>
  <c r="V41" i="7"/>
  <c r="U41" i="7"/>
  <c r="O41" i="7" a="1"/>
  <c r="O41" i="7" s="1"/>
  <c r="N41" i="7"/>
  <c r="M41" i="7"/>
  <c r="K41" i="7"/>
  <c r="I41" i="7"/>
  <c r="H41" i="7"/>
  <c r="F41" i="7"/>
  <c r="E41" i="7"/>
  <c r="A41" i="7"/>
  <c r="M38" i="7"/>
  <c r="H38" i="7"/>
  <c r="E38" i="7"/>
  <c r="M37" i="7"/>
  <c r="M36" i="7"/>
  <c r="M35" i="7"/>
  <c r="E35" i="7"/>
  <c r="M34" i="7"/>
  <c r="M33" i="7"/>
  <c r="M32" i="7"/>
  <c r="H32" i="7"/>
  <c r="E32" i="7"/>
  <c r="M31" i="7"/>
  <c r="E31" i="7"/>
  <c r="M30" i="7"/>
  <c r="E30" i="7"/>
  <c r="M29" i="7"/>
  <c r="E29" i="7"/>
  <c r="M28" i="7"/>
  <c r="H28" i="7"/>
  <c r="M27" i="7"/>
  <c r="E27" i="7"/>
  <c r="M26" i="7"/>
  <c r="H26" i="7"/>
  <c r="M25" i="7"/>
  <c r="H25" i="7"/>
  <c r="M24" i="7"/>
  <c r="H24" i="7"/>
  <c r="M23" i="7"/>
  <c r="H23" i="7"/>
  <c r="M22" i="7"/>
  <c r="H22" i="7"/>
  <c r="M21" i="7"/>
  <c r="H21" i="7"/>
  <c r="M20" i="7"/>
  <c r="H20" i="7"/>
  <c r="E20" i="7"/>
  <c r="M19" i="7"/>
  <c r="E19" i="7"/>
  <c r="M18" i="7"/>
  <c r="E18" i="7"/>
  <c r="M17" i="7"/>
  <c r="H17" i="7"/>
  <c r="M16" i="7"/>
  <c r="E16" i="7"/>
  <c r="M15" i="7"/>
  <c r="H15" i="7"/>
  <c r="E15" i="7"/>
  <c r="M14" i="7"/>
  <c r="H14" i="7"/>
  <c r="E14" i="7"/>
  <c r="M13" i="7"/>
  <c r="M12" i="7"/>
  <c r="H12" i="7"/>
  <c r="E12" i="7"/>
  <c r="M11" i="7"/>
  <c r="N8" i="7"/>
  <c r="K8" i="7"/>
  <c r="E8" i="7"/>
  <c r="A8" i="7"/>
  <c r="W48" i="6"/>
  <c r="V48" i="6"/>
  <c r="U48" i="6"/>
  <c r="N48" i="6"/>
  <c r="M48" i="6"/>
  <c r="K48" i="6"/>
  <c r="I48" i="6"/>
  <c r="H48" i="6"/>
  <c r="F48" i="6"/>
  <c r="E48" i="6"/>
  <c r="A48" i="6"/>
  <c r="W47" i="6"/>
  <c r="V47" i="6"/>
  <c r="U47" i="6"/>
  <c r="N47" i="6"/>
  <c r="M47" i="6"/>
  <c r="K47" i="6"/>
  <c r="I47" i="6"/>
  <c r="H47" i="6"/>
  <c r="F47" i="6"/>
  <c r="E47" i="6"/>
  <c r="S47" i="6" s="1"/>
  <c r="A47" i="6"/>
  <c r="W46" i="6"/>
  <c r="V46" i="6"/>
  <c r="U46" i="6"/>
  <c r="N46" i="6"/>
  <c r="M46" i="6"/>
  <c r="K46" i="6"/>
  <c r="I46" i="6"/>
  <c r="H46" i="6"/>
  <c r="F46" i="6"/>
  <c r="E46" i="6"/>
  <c r="A46" i="6"/>
  <c r="W45" i="6"/>
  <c r="V45" i="6"/>
  <c r="U45" i="6"/>
  <c r="N45" i="6"/>
  <c r="M45" i="6"/>
  <c r="K45" i="6"/>
  <c r="I45" i="6"/>
  <c r="H45" i="6"/>
  <c r="O45" i="6" s="1" a="1"/>
  <c r="O45" i="6" s="1"/>
  <c r="F45" i="6"/>
  <c r="E45" i="6"/>
  <c r="A45" i="6"/>
  <c r="H20" i="6" s="1"/>
  <c r="W44" i="6"/>
  <c r="V44" i="6"/>
  <c r="U44" i="6"/>
  <c r="N44" i="6"/>
  <c r="M44" i="6"/>
  <c r="K44" i="6"/>
  <c r="I44" i="6"/>
  <c r="H44" i="6"/>
  <c r="F44" i="6"/>
  <c r="E44" i="6"/>
  <c r="A44" i="6"/>
  <c r="W43" i="6"/>
  <c r="V43" i="6"/>
  <c r="U43" i="6"/>
  <c r="N43" i="6"/>
  <c r="M43" i="6"/>
  <c r="K43" i="6"/>
  <c r="I43" i="6"/>
  <c r="H43" i="6"/>
  <c r="F43" i="6"/>
  <c r="R43" i="6" s="1"/>
  <c r="E43" i="6"/>
  <c r="S43" i="6" s="1"/>
  <c r="A43" i="6"/>
  <c r="E27" i="6" s="1"/>
  <c r="W42" i="6"/>
  <c r="V42" i="6"/>
  <c r="U42" i="6"/>
  <c r="N42" i="6"/>
  <c r="M42" i="6"/>
  <c r="K42" i="6"/>
  <c r="I42" i="6"/>
  <c r="H42" i="6"/>
  <c r="F42" i="6"/>
  <c r="E42" i="6"/>
  <c r="A42" i="6"/>
  <c r="H37" i="6" s="1"/>
  <c r="W41" i="6"/>
  <c r="V41" i="6"/>
  <c r="U41" i="6"/>
  <c r="N41" i="6"/>
  <c r="M41" i="6"/>
  <c r="K41" i="6"/>
  <c r="I41" i="6"/>
  <c r="H41" i="6"/>
  <c r="F41" i="6"/>
  <c r="E41" i="6"/>
  <c r="A41" i="6"/>
  <c r="H36" i="6" s="1"/>
  <c r="M38" i="6"/>
  <c r="H38" i="6"/>
  <c r="E38" i="6"/>
  <c r="M37" i="6"/>
  <c r="M36" i="6"/>
  <c r="E36" i="6"/>
  <c r="M34" i="6"/>
  <c r="M33" i="6"/>
  <c r="H33" i="6"/>
  <c r="M32" i="6"/>
  <c r="H32" i="6"/>
  <c r="E32" i="6"/>
  <c r="M30" i="6"/>
  <c r="E30" i="6"/>
  <c r="M29" i="6"/>
  <c r="E29" i="6"/>
  <c r="M27" i="6"/>
  <c r="H27" i="6"/>
  <c r="M25" i="6"/>
  <c r="H25" i="6"/>
  <c r="E25" i="6"/>
  <c r="M24" i="6"/>
  <c r="H24" i="6"/>
  <c r="E24" i="6"/>
  <c r="M23" i="6"/>
  <c r="M21" i="6"/>
  <c r="H21" i="6"/>
  <c r="M20" i="6"/>
  <c r="E20" i="6"/>
  <c r="M19" i="6"/>
  <c r="H19" i="6"/>
  <c r="E19" i="6"/>
  <c r="M17" i="6"/>
  <c r="H17" i="6"/>
  <c r="E17" i="6"/>
  <c r="M16" i="6"/>
  <c r="E16" i="6"/>
  <c r="M15" i="6"/>
  <c r="H15" i="6"/>
  <c r="E15" i="6"/>
  <c r="M13" i="6"/>
  <c r="H13" i="6"/>
  <c r="M12" i="6"/>
  <c r="H12" i="6"/>
  <c r="E12" i="6"/>
  <c r="M11" i="6"/>
  <c r="H11" i="6"/>
  <c r="N8" i="6"/>
  <c r="K8" i="6"/>
  <c r="E8" i="6"/>
  <c r="A8" i="6"/>
  <c r="W48" i="5"/>
  <c r="V48" i="5"/>
  <c r="U48" i="5"/>
  <c r="N48" i="5"/>
  <c r="M48" i="5"/>
  <c r="K48" i="5"/>
  <c r="I48" i="5"/>
  <c r="H48" i="5"/>
  <c r="F48" i="5"/>
  <c r="E48" i="5"/>
  <c r="A48" i="5"/>
  <c r="W47" i="5"/>
  <c r="V47" i="5"/>
  <c r="U47" i="5"/>
  <c r="N47" i="5"/>
  <c r="M47" i="5"/>
  <c r="K47" i="5"/>
  <c r="I47" i="5"/>
  <c r="H47" i="5"/>
  <c r="F47" i="5"/>
  <c r="Q47" i="5" s="1"/>
  <c r="E47" i="5"/>
  <c r="A47" i="5"/>
  <c r="W46" i="5"/>
  <c r="V46" i="5"/>
  <c r="U46" i="5"/>
  <c r="N46" i="5"/>
  <c r="M46" i="5"/>
  <c r="K46" i="5"/>
  <c r="I46" i="5"/>
  <c r="H46" i="5"/>
  <c r="F46" i="5"/>
  <c r="E46" i="5"/>
  <c r="A46" i="5"/>
  <c r="E36" i="5" s="1"/>
  <c r="W45" i="5"/>
  <c r="V45" i="5"/>
  <c r="U45" i="5"/>
  <c r="N45" i="5"/>
  <c r="M45" i="5"/>
  <c r="K45" i="5"/>
  <c r="I45" i="5"/>
  <c r="H45" i="5"/>
  <c r="F45" i="5"/>
  <c r="E45" i="5"/>
  <c r="A45" i="5"/>
  <c r="H34" i="5" s="1"/>
  <c r="W44" i="5"/>
  <c r="V44" i="5"/>
  <c r="U44" i="5"/>
  <c r="N44" i="5"/>
  <c r="M44" i="5"/>
  <c r="K44" i="5"/>
  <c r="I44" i="5"/>
  <c r="H44" i="5"/>
  <c r="F44" i="5"/>
  <c r="E44" i="5"/>
  <c r="A44" i="5"/>
  <c r="H31" i="5" s="1"/>
  <c r="W43" i="5"/>
  <c r="V43" i="5"/>
  <c r="U43" i="5"/>
  <c r="N43" i="5"/>
  <c r="M43" i="5"/>
  <c r="K43" i="5"/>
  <c r="I43" i="5"/>
  <c r="S43" i="5" s="1"/>
  <c r="H43" i="5"/>
  <c r="F43" i="5"/>
  <c r="Q43" i="5" s="1"/>
  <c r="E43" i="5"/>
  <c r="A43" i="5"/>
  <c r="H35" i="5" s="1"/>
  <c r="W42" i="5"/>
  <c r="V42" i="5"/>
  <c r="U42" i="5"/>
  <c r="N42" i="5"/>
  <c r="M42" i="5"/>
  <c r="K42" i="5"/>
  <c r="I42" i="5"/>
  <c r="H42" i="5"/>
  <c r="F42" i="5"/>
  <c r="E42" i="5"/>
  <c r="A42" i="5"/>
  <c r="E28" i="5" s="1"/>
  <c r="W41" i="5"/>
  <c r="V41" i="5"/>
  <c r="U41" i="5"/>
  <c r="N41" i="5"/>
  <c r="M41" i="5"/>
  <c r="K41" i="5"/>
  <c r="I41" i="5"/>
  <c r="H41" i="5"/>
  <c r="F41" i="5"/>
  <c r="E41" i="5"/>
  <c r="T41" i="5" s="1"/>
  <c r="A41" i="5"/>
  <c r="H18" i="5" s="1"/>
  <c r="M38" i="5"/>
  <c r="H38" i="5"/>
  <c r="E38" i="5"/>
  <c r="M37" i="5"/>
  <c r="M36" i="5"/>
  <c r="M35" i="5"/>
  <c r="E35" i="5"/>
  <c r="M34" i="5"/>
  <c r="M33" i="5"/>
  <c r="M32" i="5"/>
  <c r="H32" i="5"/>
  <c r="M31" i="5"/>
  <c r="E31" i="5"/>
  <c r="M30" i="5"/>
  <c r="E30" i="5"/>
  <c r="M29" i="5"/>
  <c r="E29" i="5"/>
  <c r="M28" i="5"/>
  <c r="H28" i="5"/>
  <c r="M27" i="5"/>
  <c r="E27" i="5"/>
  <c r="M26" i="5"/>
  <c r="H26" i="5"/>
  <c r="M25" i="5"/>
  <c r="H25" i="5"/>
  <c r="M24" i="5"/>
  <c r="H24" i="5"/>
  <c r="M23" i="5"/>
  <c r="H23" i="5"/>
  <c r="E23" i="5"/>
  <c r="M22" i="5"/>
  <c r="H22" i="5"/>
  <c r="M21" i="5"/>
  <c r="H21" i="5"/>
  <c r="M20" i="5"/>
  <c r="H20" i="5"/>
  <c r="E20" i="5"/>
  <c r="M19" i="5"/>
  <c r="E19" i="5"/>
  <c r="M18" i="5"/>
  <c r="E18" i="5"/>
  <c r="M17" i="5"/>
  <c r="H17" i="5"/>
  <c r="M16" i="5"/>
  <c r="E16" i="5"/>
  <c r="M15" i="5"/>
  <c r="E15" i="5"/>
  <c r="M14" i="5"/>
  <c r="H14" i="5"/>
  <c r="E14" i="5"/>
  <c r="M13" i="5"/>
  <c r="M12" i="5"/>
  <c r="H12" i="5"/>
  <c r="M11" i="5"/>
  <c r="N8" i="5"/>
  <c r="K8" i="5"/>
  <c r="E8" i="5"/>
  <c r="A8" i="5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D2" i="4"/>
  <c r="B2" i="4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AI32" i="2"/>
  <c r="AH32" i="2"/>
  <c r="AG32" i="2"/>
  <c r="AF32" i="2"/>
  <c r="AE32" i="2"/>
  <c r="AD32" i="2"/>
  <c r="AC32" i="2"/>
  <c r="AB32" i="2"/>
  <c r="AA32" i="2"/>
  <c r="Z32" i="2"/>
  <c r="X32" i="2"/>
  <c r="W32" i="2"/>
  <c r="V32" i="2"/>
  <c r="U32" i="2"/>
  <c r="T32" i="2"/>
  <c r="S32" i="2"/>
  <c r="R32" i="2"/>
  <c r="Q32" i="2"/>
  <c r="P32" i="2"/>
  <c r="O32" i="2"/>
  <c r="M32" i="2"/>
  <c r="L32" i="2"/>
  <c r="K32" i="2"/>
  <c r="J32" i="2"/>
  <c r="I32" i="2"/>
  <c r="G32" i="2"/>
  <c r="AI31" i="2"/>
  <c r="AH31" i="2"/>
  <c r="AG31" i="2"/>
  <c r="AF31" i="2"/>
  <c r="AE31" i="2"/>
  <c r="AD31" i="2"/>
  <c r="AC31" i="2"/>
  <c r="AB31" i="2"/>
  <c r="AA31" i="2"/>
  <c r="Z31" i="2"/>
  <c r="X31" i="2"/>
  <c r="W31" i="2"/>
  <c r="V31" i="2"/>
  <c r="U31" i="2"/>
  <c r="T31" i="2"/>
  <c r="S31" i="2"/>
  <c r="R31" i="2"/>
  <c r="Q31" i="2"/>
  <c r="P31" i="2"/>
  <c r="O31" i="2"/>
  <c r="M31" i="2"/>
  <c r="L31" i="2"/>
  <c r="K31" i="2"/>
  <c r="J31" i="2"/>
  <c r="I31" i="2"/>
  <c r="G31" i="2"/>
  <c r="AI30" i="2"/>
  <c r="AH30" i="2"/>
  <c r="AG30" i="2"/>
  <c r="AF30" i="2"/>
  <c r="AE30" i="2"/>
  <c r="AD30" i="2"/>
  <c r="AC30" i="2"/>
  <c r="AB30" i="2"/>
  <c r="AA30" i="2"/>
  <c r="Z30" i="2"/>
  <c r="X30" i="2"/>
  <c r="W30" i="2"/>
  <c r="V30" i="2"/>
  <c r="U30" i="2"/>
  <c r="T30" i="2"/>
  <c r="S30" i="2"/>
  <c r="R30" i="2"/>
  <c r="Q30" i="2"/>
  <c r="P30" i="2"/>
  <c r="O30" i="2"/>
  <c r="M30" i="2"/>
  <c r="L30" i="2"/>
  <c r="K30" i="2"/>
  <c r="J30" i="2"/>
  <c r="I30" i="2"/>
  <c r="G30" i="2"/>
  <c r="AI29" i="2"/>
  <c r="AH29" i="2"/>
  <c r="AG29" i="2"/>
  <c r="AF29" i="2"/>
  <c r="AE29" i="2"/>
  <c r="AD29" i="2"/>
  <c r="AC29" i="2"/>
  <c r="AB29" i="2"/>
  <c r="AA29" i="2"/>
  <c r="Z29" i="2"/>
  <c r="X29" i="2"/>
  <c r="W29" i="2"/>
  <c r="V29" i="2"/>
  <c r="U29" i="2"/>
  <c r="T29" i="2"/>
  <c r="S29" i="2"/>
  <c r="R29" i="2"/>
  <c r="Q29" i="2"/>
  <c r="P29" i="2"/>
  <c r="O29" i="2"/>
  <c r="M29" i="2"/>
  <c r="L29" i="2"/>
  <c r="K29" i="2"/>
  <c r="J29" i="2"/>
  <c r="I29" i="2"/>
  <c r="G29" i="2"/>
  <c r="AI28" i="2"/>
  <c r="AH28" i="2"/>
  <c r="AG28" i="2"/>
  <c r="AF28" i="2"/>
  <c r="AE28" i="2"/>
  <c r="AD28" i="2"/>
  <c r="AC28" i="2"/>
  <c r="AB28" i="2"/>
  <c r="AA28" i="2"/>
  <c r="Z28" i="2"/>
  <c r="X28" i="2"/>
  <c r="W28" i="2"/>
  <c r="V28" i="2"/>
  <c r="U28" i="2"/>
  <c r="T28" i="2"/>
  <c r="S28" i="2"/>
  <c r="R28" i="2"/>
  <c r="Q28" i="2"/>
  <c r="P28" i="2"/>
  <c r="O28" i="2"/>
  <c r="M28" i="2"/>
  <c r="L28" i="2"/>
  <c r="K28" i="2"/>
  <c r="J28" i="2"/>
  <c r="I28" i="2"/>
  <c r="G28" i="2"/>
  <c r="AI27" i="2"/>
  <c r="AH27" i="2"/>
  <c r="AG27" i="2"/>
  <c r="AF27" i="2"/>
  <c r="AE27" i="2"/>
  <c r="AD27" i="2"/>
  <c r="AC27" i="2"/>
  <c r="AB27" i="2"/>
  <c r="AA27" i="2"/>
  <c r="Z27" i="2"/>
  <c r="X27" i="2"/>
  <c r="W27" i="2"/>
  <c r="V27" i="2"/>
  <c r="U27" i="2"/>
  <c r="T27" i="2"/>
  <c r="S27" i="2"/>
  <c r="R27" i="2"/>
  <c r="Q27" i="2"/>
  <c r="P27" i="2"/>
  <c r="O27" i="2"/>
  <c r="M27" i="2"/>
  <c r="L27" i="2"/>
  <c r="K27" i="2"/>
  <c r="J27" i="2"/>
  <c r="I27" i="2"/>
  <c r="G27" i="2"/>
  <c r="AI26" i="2"/>
  <c r="AH26" i="2"/>
  <c r="AG26" i="2"/>
  <c r="AF26" i="2"/>
  <c r="AE26" i="2"/>
  <c r="AD26" i="2"/>
  <c r="AC26" i="2"/>
  <c r="AB26" i="2"/>
  <c r="AA26" i="2"/>
  <c r="Z26" i="2"/>
  <c r="X26" i="2"/>
  <c r="W26" i="2"/>
  <c r="V26" i="2"/>
  <c r="U26" i="2"/>
  <c r="T26" i="2"/>
  <c r="S26" i="2"/>
  <c r="R26" i="2"/>
  <c r="Q26" i="2"/>
  <c r="P26" i="2"/>
  <c r="O26" i="2"/>
  <c r="M26" i="2"/>
  <c r="L26" i="2"/>
  <c r="K26" i="2"/>
  <c r="J26" i="2"/>
  <c r="I26" i="2"/>
  <c r="G26" i="2"/>
  <c r="AI25" i="2"/>
  <c r="AH25" i="2"/>
  <c r="AG25" i="2"/>
  <c r="AF25" i="2"/>
  <c r="AE25" i="2"/>
  <c r="AD25" i="2"/>
  <c r="AC25" i="2"/>
  <c r="AB25" i="2"/>
  <c r="AA25" i="2"/>
  <c r="Z25" i="2"/>
  <c r="X25" i="2"/>
  <c r="W25" i="2"/>
  <c r="V25" i="2"/>
  <c r="U25" i="2"/>
  <c r="T25" i="2"/>
  <c r="S25" i="2"/>
  <c r="R25" i="2"/>
  <c r="Q25" i="2"/>
  <c r="P25" i="2"/>
  <c r="O25" i="2"/>
  <c r="M25" i="2"/>
  <c r="L25" i="2"/>
  <c r="K25" i="2"/>
  <c r="J25" i="2"/>
  <c r="I25" i="2"/>
  <c r="G25" i="2"/>
  <c r="AI24" i="2"/>
  <c r="AH24" i="2"/>
  <c r="AG24" i="2"/>
  <c r="AF24" i="2"/>
  <c r="AE24" i="2"/>
  <c r="AD24" i="2"/>
  <c r="AC24" i="2"/>
  <c r="AB24" i="2"/>
  <c r="AA24" i="2"/>
  <c r="Z24" i="2"/>
  <c r="X24" i="2"/>
  <c r="W24" i="2"/>
  <c r="V24" i="2"/>
  <c r="U24" i="2"/>
  <c r="T24" i="2"/>
  <c r="S24" i="2"/>
  <c r="R24" i="2"/>
  <c r="Q24" i="2"/>
  <c r="P24" i="2"/>
  <c r="O24" i="2"/>
  <c r="M24" i="2"/>
  <c r="L24" i="2"/>
  <c r="K24" i="2"/>
  <c r="J24" i="2"/>
  <c r="I24" i="2"/>
  <c r="G24" i="2"/>
  <c r="AI23" i="2"/>
  <c r="AH23" i="2"/>
  <c r="AG23" i="2"/>
  <c r="AF23" i="2"/>
  <c r="AE23" i="2"/>
  <c r="AD23" i="2"/>
  <c r="AC23" i="2"/>
  <c r="AB23" i="2"/>
  <c r="AA23" i="2"/>
  <c r="Z23" i="2"/>
  <c r="X23" i="2"/>
  <c r="W23" i="2"/>
  <c r="V23" i="2"/>
  <c r="U23" i="2"/>
  <c r="T23" i="2"/>
  <c r="S23" i="2"/>
  <c r="R23" i="2"/>
  <c r="Q23" i="2"/>
  <c r="P23" i="2"/>
  <c r="O23" i="2"/>
  <c r="M23" i="2"/>
  <c r="L23" i="2"/>
  <c r="K23" i="2"/>
  <c r="J23" i="2"/>
  <c r="I23" i="2"/>
  <c r="G23" i="2"/>
  <c r="AI22" i="2"/>
  <c r="AH22" i="2"/>
  <c r="AG22" i="2"/>
  <c r="AF22" i="2"/>
  <c r="AE22" i="2"/>
  <c r="AD22" i="2"/>
  <c r="AC22" i="2"/>
  <c r="AB22" i="2"/>
  <c r="AA22" i="2"/>
  <c r="Z22" i="2"/>
  <c r="X22" i="2"/>
  <c r="W22" i="2"/>
  <c r="V22" i="2"/>
  <c r="U22" i="2"/>
  <c r="T22" i="2"/>
  <c r="S22" i="2"/>
  <c r="R22" i="2"/>
  <c r="Q22" i="2"/>
  <c r="P22" i="2"/>
  <c r="O22" i="2"/>
  <c r="M22" i="2"/>
  <c r="L22" i="2"/>
  <c r="K22" i="2"/>
  <c r="J22" i="2"/>
  <c r="I22" i="2"/>
  <c r="G22" i="2"/>
  <c r="AI21" i="2"/>
  <c r="AH21" i="2"/>
  <c r="AG21" i="2"/>
  <c r="AF21" i="2"/>
  <c r="AE21" i="2"/>
  <c r="AD21" i="2"/>
  <c r="AC21" i="2"/>
  <c r="AB21" i="2"/>
  <c r="AA21" i="2"/>
  <c r="Z21" i="2"/>
  <c r="X21" i="2"/>
  <c r="W21" i="2"/>
  <c r="V21" i="2"/>
  <c r="U21" i="2"/>
  <c r="T21" i="2"/>
  <c r="S21" i="2"/>
  <c r="R21" i="2"/>
  <c r="Q21" i="2"/>
  <c r="P21" i="2"/>
  <c r="O21" i="2"/>
  <c r="M21" i="2"/>
  <c r="L21" i="2"/>
  <c r="K21" i="2"/>
  <c r="J21" i="2"/>
  <c r="I21" i="2"/>
  <c r="G21" i="2"/>
  <c r="AI20" i="2"/>
  <c r="AH20" i="2"/>
  <c r="AG20" i="2"/>
  <c r="AF20" i="2"/>
  <c r="AE20" i="2"/>
  <c r="AD20" i="2"/>
  <c r="AC20" i="2"/>
  <c r="AB20" i="2"/>
  <c r="AA20" i="2"/>
  <c r="Z20" i="2"/>
  <c r="X20" i="2"/>
  <c r="W20" i="2"/>
  <c r="V20" i="2"/>
  <c r="U20" i="2"/>
  <c r="T20" i="2"/>
  <c r="S20" i="2"/>
  <c r="R20" i="2"/>
  <c r="Q20" i="2"/>
  <c r="P20" i="2"/>
  <c r="O20" i="2"/>
  <c r="M20" i="2"/>
  <c r="L20" i="2"/>
  <c r="K20" i="2"/>
  <c r="J20" i="2"/>
  <c r="I20" i="2"/>
  <c r="G20" i="2"/>
  <c r="AI19" i="2"/>
  <c r="AH19" i="2"/>
  <c r="AG19" i="2"/>
  <c r="AF19" i="2"/>
  <c r="AE19" i="2"/>
  <c r="AD19" i="2"/>
  <c r="AC19" i="2"/>
  <c r="AB19" i="2"/>
  <c r="AA19" i="2"/>
  <c r="Z19" i="2"/>
  <c r="X19" i="2"/>
  <c r="W19" i="2"/>
  <c r="V19" i="2"/>
  <c r="U19" i="2"/>
  <c r="T19" i="2"/>
  <c r="S19" i="2"/>
  <c r="R19" i="2"/>
  <c r="Q19" i="2"/>
  <c r="P19" i="2"/>
  <c r="O19" i="2"/>
  <c r="M19" i="2"/>
  <c r="L19" i="2"/>
  <c r="K19" i="2"/>
  <c r="J19" i="2"/>
  <c r="I19" i="2"/>
  <c r="G19" i="2"/>
  <c r="AI18" i="2"/>
  <c r="AH18" i="2"/>
  <c r="AG18" i="2"/>
  <c r="AF18" i="2"/>
  <c r="AE18" i="2"/>
  <c r="AD18" i="2"/>
  <c r="AC18" i="2"/>
  <c r="AB18" i="2"/>
  <c r="AA18" i="2"/>
  <c r="Z18" i="2"/>
  <c r="X18" i="2"/>
  <c r="W18" i="2"/>
  <c r="V18" i="2"/>
  <c r="U18" i="2"/>
  <c r="T18" i="2"/>
  <c r="S18" i="2"/>
  <c r="R18" i="2"/>
  <c r="Q18" i="2"/>
  <c r="P18" i="2"/>
  <c r="O18" i="2"/>
  <c r="M18" i="2"/>
  <c r="L18" i="2"/>
  <c r="K18" i="2"/>
  <c r="J18" i="2"/>
  <c r="I18" i="2"/>
  <c r="G18" i="2"/>
  <c r="AI17" i="2"/>
  <c r="AH17" i="2"/>
  <c r="AG17" i="2"/>
  <c r="AF17" i="2"/>
  <c r="AE17" i="2"/>
  <c r="AD17" i="2"/>
  <c r="AC17" i="2"/>
  <c r="AB17" i="2"/>
  <c r="AA17" i="2"/>
  <c r="Z17" i="2"/>
  <c r="X17" i="2"/>
  <c r="W17" i="2"/>
  <c r="V17" i="2"/>
  <c r="U17" i="2"/>
  <c r="T17" i="2"/>
  <c r="S17" i="2"/>
  <c r="R17" i="2"/>
  <c r="Q17" i="2"/>
  <c r="P17" i="2"/>
  <c r="O17" i="2"/>
  <c r="M17" i="2"/>
  <c r="L17" i="2"/>
  <c r="K17" i="2"/>
  <c r="J17" i="2"/>
  <c r="I17" i="2"/>
  <c r="G17" i="2"/>
  <c r="AI16" i="2"/>
  <c r="AH16" i="2"/>
  <c r="AG16" i="2"/>
  <c r="AF16" i="2"/>
  <c r="AE16" i="2"/>
  <c r="AD16" i="2"/>
  <c r="AC16" i="2"/>
  <c r="AB16" i="2"/>
  <c r="AA16" i="2"/>
  <c r="Z16" i="2"/>
  <c r="X16" i="2"/>
  <c r="W16" i="2"/>
  <c r="V16" i="2"/>
  <c r="U16" i="2"/>
  <c r="T16" i="2"/>
  <c r="S16" i="2"/>
  <c r="R16" i="2"/>
  <c r="Q16" i="2"/>
  <c r="P16" i="2"/>
  <c r="O16" i="2"/>
  <c r="M16" i="2"/>
  <c r="L16" i="2"/>
  <c r="K16" i="2"/>
  <c r="J16" i="2"/>
  <c r="I16" i="2"/>
  <c r="G16" i="2"/>
  <c r="AI15" i="2"/>
  <c r="AH15" i="2"/>
  <c r="AG15" i="2"/>
  <c r="AF15" i="2"/>
  <c r="AE15" i="2"/>
  <c r="AD15" i="2"/>
  <c r="AC15" i="2"/>
  <c r="AB15" i="2"/>
  <c r="AA15" i="2"/>
  <c r="Z15" i="2"/>
  <c r="X15" i="2"/>
  <c r="W15" i="2"/>
  <c r="V15" i="2"/>
  <c r="U15" i="2"/>
  <c r="T15" i="2"/>
  <c r="S15" i="2"/>
  <c r="R15" i="2"/>
  <c r="Q15" i="2"/>
  <c r="P15" i="2"/>
  <c r="O15" i="2"/>
  <c r="M15" i="2"/>
  <c r="L15" i="2"/>
  <c r="K15" i="2"/>
  <c r="J15" i="2"/>
  <c r="I15" i="2"/>
  <c r="G15" i="2"/>
  <c r="AI14" i="2"/>
  <c r="AH14" i="2"/>
  <c r="AG14" i="2"/>
  <c r="AF14" i="2"/>
  <c r="AE14" i="2"/>
  <c r="AD14" i="2"/>
  <c r="AC14" i="2"/>
  <c r="AB14" i="2"/>
  <c r="AA14" i="2"/>
  <c r="Z14" i="2"/>
  <c r="X14" i="2"/>
  <c r="W14" i="2"/>
  <c r="V14" i="2"/>
  <c r="U14" i="2"/>
  <c r="T14" i="2"/>
  <c r="S14" i="2"/>
  <c r="R14" i="2"/>
  <c r="Q14" i="2"/>
  <c r="P14" i="2"/>
  <c r="O14" i="2"/>
  <c r="M14" i="2"/>
  <c r="L14" i="2"/>
  <c r="K14" i="2"/>
  <c r="J14" i="2"/>
  <c r="I14" i="2"/>
  <c r="G14" i="2"/>
  <c r="AI13" i="2"/>
  <c r="AH13" i="2"/>
  <c r="AG13" i="2"/>
  <c r="AF13" i="2"/>
  <c r="AE13" i="2"/>
  <c r="AD13" i="2"/>
  <c r="AC13" i="2"/>
  <c r="AB13" i="2"/>
  <c r="AA13" i="2"/>
  <c r="Z13" i="2"/>
  <c r="X13" i="2"/>
  <c r="W13" i="2"/>
  <c r="V13" i="2"/>
  <c r="U13" i="2"/>
  <c r="T13" i="2"/>
  <c r="S13" i="2"/>
  <c r="R13" i="2"/>
  <c r="Q13" i="2"/>
  <c r="P13" i="2"/>
  <c r="O13" i="2"/>
  <c r="M13" i="2"/>
  <c r="L13" i="2"/>
  <c r="K13" i="2"/>
  <c r="J13" i="2"/>
  <c r="I13" i="2"/>
  <c r="G13" i="2"/>
  <c r="AI12" i="2"/>
  <c r="AH12" i="2"/>
  <c r="AG12" i="2"/>
  <c r="AF12" i="2"/>
  <c r="AE12" i="2"/>
  <c r="AD12" i="2"/>
  <c r="AC12" i="2"/>
  <c r="AB12" i="2"/>
  <c r="AA12" i="2"/>
  <c r="Z12" i="2"/>
  <c r="X12" i="2"/>
  <c r="W12" i="2"/>
  <c r="V12" i="2"/>
  <c r="U12" i="2"/>
  <c r="T12" i="2"/>
  <c r="S12" i="2"/>
  <c r="R12" i="2"/>
  <c r="Q12" i="2"/>
  <c r="P12" i="2"/>
  <c r="O12" i="2"/>
  <c r="M12" i="2"/>
  <c r="L12" i="2"/>
  <c r="K12" i="2"/>
  <c r="J12" i="2"/>
  <c r="I12" i="2"/>
  <c r="G12" i="2"/>
  <c r="AI11" i="2"/>
  <c r="AH11" i="2"/>
  <c r="AG11" i="2"/>
  <c r="AF11" i="2"/>
  <c r="AE11" i="2"/>
  <c r="AD11" i="2"/>
  <c r="AC11" i="2"/>
  <c r="AB11" i="2"/>
  <c r="AA11" i="2"/>
  <c r="Z11" i="2"/>
  <c r="X11" i="2"/>
  <c r="W11" i="2"/>
  <c r="V11" i="2"/>
  <c r="U11" i="2"/>
  <c r="T11" i="2"/>
  <c r="S11" i="2"/>
  <c r="R11" i="2"/>
  <c r="Q11" i="2"/>
  <c r="P11" i="2"/>
  <c r="O11" i="2"/>
  <c r="M11" i="2"/>
  <c r="L11" i="2"/>
  <c r="K11" i="2"/>
  <c r="J11" i="2"/>
  <c r="I11" i="2"/>
  <c r="G11" i="2"/>
  <c r="AI10" i="2"/>
  <c r="AH10" i="2"/>
  <c r="AG10" i="2"/>
  <c r="AF10" i="2"/>
  <c r="AE10" i="2"/>
  <c r="AD10" i="2"/>
  <c r="AC10" i="2"/>
  <c r="AB10" i="2"/>
  <c r="AA10" i="2"/>
  <c r="Z10" i="2"/>
  <c r="X10" i="2"/>
  <c r="W10" i="2"/>
  <c r="V10" i="2"/>
  <c r="U10" i="2"/>
  <c r="T10" i="2"/>
  <c r="S10" i="2"/>
  <c r="R10" i="2"/>
  <c r="Q10" i="2"/>
  <c r="P10" i="2"/>
  <c r="O10" i="2"/>
  <c r="M10" i="2"/>
  <c r="L10" i="2"/>
  <c r="K10" i="2"/>
  <c r="J10" i="2"/>
  <c r="I10" i="2"/>
  <c r="G10" i="2"/>
  <c r="AI9" i="2"/>
  <c r="AH9" i="2"/>
  <c r="AG9" i="2"/>
  <c r="AF9" i="2"/>
  <c r="AE9" i="2"/>
  <c r="AD9" i="2"/>
  <c r="AC9" i="2"/>
  <c r="AB9" i="2"/>
  <c r="AA9" i="2"/>
  <c r="Z9" i="2"/>
  <c r="X9" i="2"/>
  <c r="W9" i="2"/>
  <c r="V9" i="2"/>
  <c r="U9" i="2"/>
  <c r="T9" i="2"/>
  <c r="S9" i="2"/>
  <c r="R9" i="2"/>
  <c r="Q9" i="2"/>
  <c r="P9" i="2"/>
  <c r="O9" i="2"/>
  <c r="M9" i="2"/>
  <c r="L9" i="2"/>
  <c r="K9" i="2"/>
  <c r="J9" i="2"/>
  <c r="I9" i="2"/>
  <c r="G9" i="2"/>
  <c r="AI8" i="2"/>
  <c r="AH8" i="2"/>
  <c r="AG8" i="2"/>
  <c r="AF8" i="2"/>
  <c r="AE8" i="2"/>
  <c r="AD8" i="2"/>
  <c r="AC8" i="2"/>
  <c r="AB8" i="2"/>
  <c r="AA8" i="2"/>
  <c r="Z8" i="2"/>
  <c r="X8" i="2"/>
  <c r="W8" i="2"/>
  <c r="V8" i="2"/>
  <c r="U8" i="2"/>
  <c r="T8" i="2"/>
  <c r="S8" i="2"/>
  <c r="R8" i="2"/>
  <c r="Q8" i="2"/>
  <c r="P8" i="2"/>
  <c r="O8" i="2"/>
  <c r="M8" i="2"/>
  <c r="L8" i="2"/>
  <c r="K8" i="2"/>
  <c r="J8" i="2"/>
  <c r="I8" i="2"/>
  <c r="G8" i="2"/>
  <c r="AI7" i="2"/>
  <c r="AH7" i="2"/>
  <c r="AG7" i="2"/>
  <c r="AF7" i="2"/>
  <c r="AE7" i="2"/>
  <c r="AD7" i="2"/>
  <c r="AC7" i="2"/>
  <c r="AB7" i="2"/>
  <c r="AA7" i="2"/>
  <c r="Z7" i="2"/>
  <c r="X7" i="2"/>
  <c r="W7" i="2"/>
  <c r="V7" i="2"/>
  <c r="U7" i="2"/>
  <c r="T7" i="2"/>
  <c r="S7" i="2"/>
  <c r="R7" i="2"/>
  <c r="Q7" i="2"/>
  <c r="P7" i="2"/>
  <c r="O7" i="2"/>
  <c r="M7" i="2"/>
  <c r="L7" i="2"/>
  <c r="K7" i="2"/>
  <c r="J7" i="2"/>
  <c r="I7" i="2"/>
  <c r="G7" i="2"/>
  <c r="AI6" i="2"/>
  <c r="AH6" i="2"/>
  <c r="AG6" i="2"/>
  <c r="AF6" i="2"/>
  <c r="AE6" i="2"/>
  <c r="AD6" i="2"/>
  <c r="AC6" i="2"/>
  <c r="AB6" i="2"/>
  <c r="AA6" i="2"/>
  <c r="Z6" i="2"/>
  <c r="X6" i="2"/>
  <c r="W6" i="2"/>
  <c r="V6" i="2"/>
  <c r="U6" i="2"/>
  <c r="T6" i="2"/>
  <c r="S6" i="2"/>
  <c r="R6" i="2"/>
  <c r="Q6" i="2"/>
  <c r="P6" i="2"/>
  <c r="O6" i="2"/>
  <c r="M6" i="2"/>
  <c r="L6" i="2"/>
  <c r="K6" i="2"/>
  <c r="J6" i="2"/>
  <c r="I6" i="2"/>
  <c r="G6" i="2"/>
  <c r="AI5" i="2"/>
  <c r="AH5" i="2"/>
  <c r="AG5" i="2"/>
  <c r="AF5" i="2"/>
  <c r="AE5" i="2"/>
  <c r="AD5" i="2"/>
  <c r="AC5" i="2"/>
  <c r="AB5" i="2"/>
  <c r="AA5" i="2"/>
  <c r="Z5" i="2"/>
  <c r="X5" i="2"/>
  <c r="W5" i="2"/>
  <c r="V5" i="2"/>
  <c r="U5" i="2"/>
  <c r="T5" i="2"/>
  <c r="S5" i="2"/>
  <c r="R5" i="2"/>
  <c r="Q5" i="2"/>
  <c r="P5" i="2"/>
  <c r="O5" i="2"/>
  <c r="M5" i="2"/>
  <c r="L5" i="2"/>
  <c r="K5" i="2"/>
  <c r="J5" i="2"/>
  <c r="I5" i="2"/>
  <c r="G5" i="2"/>
  <c r="AI4" i="2"/>
  <c r="AH4" i="2"/>
  <c r="AG4" i="2"/>
  <c r="AF4" i="2"/>
  <c r="AE4" i="2"/>
  <c r="AD4" i="2"/>
  <c r="AC4" i="2"/>
  <c r="AB4" i="2"/>
  <c r="AA4" i="2"/>
  <c r="Z4" i="2"/>
  <c r="X4" i="2"/>
  <c r="W4" i="2"/>
  <c r="V4" i="2"/>
  <c r="U4" i="2"/>
  <c r="T4" i="2"/>
  <c r="S4" i="2"/>
  <c r="R4" i="2"/>
  <c r="Q4" i="2"/>
  <c r="P4" i="2"/>
  <c r="O4" i="2"/>
  <c r="M4" i="2"/>
  <c r="L4" i="2"/>
  <c r="K4" i="2"/>
  <c r="J4" i="2"/>
  <c r="I4" i="2"/>
  <c r="G4" i="2"/>
  <c r="AI3" i="2"/>
  <c r="AH3" i="2"/>
  <c r="AG3" i="2"/>
  <c r="AF3" i="2"/>
  <c r="AE3" i="2"/>
  <c r="AD3" i="2"/>
  <c r="AC3" i="2"/>
  <c r="AB3" i="2"/>
  <c r="AA3" i="2"/>
  <c r="Z3" i="2"/>
  <c r="X3" i="2"/>
  <c r="W3" i="2"/>
  <c r="V3" i="2"/>
  <c r="U3" i="2"/>
  <c r="T3" i="2"/>
  <c r="S3" i="2"/>
  <c r="R3" i="2"/>
  <c r="Q3" i="2"/>
  <c r="P3" i="2"/>
  <c r="O3" i="2"/>
  <c r="M3" i="2"/>
  <c r="L3" i="2"/>
  <c r="K3" i="2"/>
  <c r="J3" i="2"/>
  <c r="I3" i="2"/>
  <c r="G3" i="2"/>
  <c r="H35" i="14" l="1"/>
  <c r="E27" i="14"/>
  <c r="H23" i="14"/>
  <c r="E20" i="14"/>
  <c r="E32" i="14"/>
  <c r="S41" i="5"/>
  <c r="Q46" i="5"/>
  <c r="T46" i="11"/>
  <c r="O46" i="11" a="1"/>
  <c r="O46" i="11" s="1"/>
  <c r="O41" i="15" a="1"/>
  <c r="O41" i="15" s="1"/>
  <c r="H32" i="15"/>
  <c r="H17" i="15"/>
  <c r="H25" i="15"/>
  <c r="H21" i="15"/>
  <c r="E30" i="15"/>
  <c r="S42" i="17"/>
  <c r="O42" i="17" a="1"/>
  <c r="O42" i="17" s="1"/>
  <c r="E16" i="23"/>
  <c r="H38" i="23"/>
  <c r="T45" i="9"/>
  <c r="O45" i="9" a="1"/>
  <c r="O45" i="9" s="1"/>
  <c r="E29" i="13"/>
  <c r="E19" i="13"/>
  <c r="E16" i="13"/>
  <c r="H31" i="13"/>
  <c r="H12" i="13"/>
  <c r="H38" i="13"/>
  <c r="H24" i="13"/>
  <c r="T46" i="13"/>
  <c r="O46" i="13" a="1"/>
  <c r="O46" i="13" s="1"/>
  <c r="E38" i="19"/>
  <c r="H17" i="19"/>
  <c r="H32" i="19"/>
  <c r="H21" i="19"/>
  <c r="H25" i="19"/>
  <c r="R47" i="21"/>
  <c r="S47" i="21"/>
  <c r="E12" i="14"/>
  <c r="T41" i="20"/>
  <c r="O41" i="20" a="1"/>
  <c r="O41" i="20" s="1"/>
  <c r="E32" i="5"/>
  <c r="Q45" i="16"/>
  <c r="O45" i="16" a="1"/>
  <c r="O45" i="16" s="1"/>
  <c r="Q47" i="18"/>
  <c r="S47" i="18"/>
  <c r="E13" i="19"/>
  <c r="E37" i="19"/>
  <c r="H16" i="19"/>
  <c r="H20" i="19"/>
  <c r="H34" i="19"/>
  <c r="H30" i="19"/>
  <c r="T45" i="26"/>
  <c r="O45" i="26" a="1"/>
  <c r="O45" i="26" s="1"/>
  <c r="T42" i="5"/>
  <c r="T41" i="6"/>
  <c r="O41" i="6" a="1"/>
  <c r="O41" i="6" s="1"/>
  <c r="E37" i="10"/>
  <c r="E13" i="10"/>
  <c r="H16" i="10"/>
  <c r="H30" i="10"/>
  <c r="H20" i="10"/>
  <c r="H34" i="10"/>
  <c r="E15" i="12"/>
  <c r="R43" i="16"/>
  <c r="S43" i="16"/>
  <c r="O46" i="17" a="1"/>
  <c r="O46" i="17" s="1"/>
  <c r="T45" i="18"/>
  <c r="O45" i="18" a="1"/>
  <c r="O45" i="18" s="1"/>
  <c r="O44" i="19" a="1"/>
  <c r="O44" i="19" s="1"/>
  <c r="S44" i="19"/>
  <c r="O45" i="20" a="1"/>
  <c r="O45" i="20" s="1"/>
  <c r="R47" i="30"/>
  <c r="S47" i="30"/>
  <c r="Q42" i="5"/>
  <c r="T45" i="5"/>
  <c r="O45" i="5" a="1"/>
  <c r="O45" i="5" s="1"/>
  <c r="O42" i="11" a="1"/>
  <c r="O42" i="11" s="1"/>
  <c r="O45" i="12" a="1"/>
  <c r="O45" i="12" s="1"/>
  <c r="O42" i="13" a="1"/>
  <c r="O42" i="13" s="1"/>
  <c r="S44" i="14"/>
  <c r="T47" i="20"/>
  <c r="S47" i="20"/>
  <c r="H17" i="22"/>
  <c r="H32" i="22"/>
  <c r="H21" i="22"/>
  <c r="H25" i="22"/>
  <c r="E30" i="22"/>
  <c r="E38" i="22"/>
  <c r="T46" i="24"/>
  <c r="O46" i="24" a="1"/>
  <c r="O46" i="24" s="1"/>
  <c r="X46" i="24" s="1"/>
  <c r="E27" i="30"/>
  <c r="E12" i="30"/>
  <c r="E32" i="30"/>
  <c r="E20" i="30"/>
  <c r="H15" i="30"/>
  <c r="T45" i="30"/>
  <c r="O45" i="30" a="1"/>
  <c r="O45" i="30" s="1"/>
  <c r="O41" i="9" a="1"/>
  <c r="O41" i="9" s="1"/>
  <c r="S48" i="10"/>
  <c r="O41" i="12" a="1"/>
  <c r="O41" i="12" s="1"/>
  <c r="O42" i="14" a="1"/>
  <c r="O42" i="14" s="1"/>
  <c r="S43" i="15"/>
  <c r="S48" i="23"/>
  <c r="E27" i="25"/>
  <c r="E12" i="25"/>
  <c r="E32" i="25"/>
  <c r="H15" i="25"/>
  <c r="E20" i="25"/>
  <c r="S47" i="27"/>
  <c r="S47" i="29"/>
  <c r="H37" i="12"/>
  <c r="H11" i="12"/>
  <c r="E28" i="12"/>
  <c r="E25" i="12"/>
  <c r="H19" i="12"/>
  <c r="H15" i="14"/>
  <c r="E37" i="17"/>
  <c r="E13" i="17"/>
  <c r="H30" i="17"/>
  <c r="H16" i="17"/>
  <c r="H34" i="17"/>
  <c r="H20" i="17"/>
  <c r="E12" i="5"/>
  <c r="H15" i="5"/>
  <c r="O41" i="5" a="1"/>
  <c r="O41" i="5" s="1"/>
  <c r="S42" i="5"/>
  <c r="E21" i="7"/>
  <c r="E23" i="7"/>
  <c r="S48" i="11"/>
  <c r="H32" i="12"/>
  <c r="H17" i="12"/>
  <c r="E14" i="12"/>
  <c r="H25" i="12"/>
  <c r="E38" i="12"/>
  <c r="T42" i="22"/>
  <c r="O42" i="22" a="1"/>
  <c r="O42" i="22" s="1"/>
  <c r="O41" i="26" a="1"/>
  <c r="O41" i="26" s="1"/>
  <c r="O45" i="27" a="1"/>
  <c r="O45" i="27" s="1"/>
  <c r="O45" i="29" a="1"/>
  <c r="O45" i="29" s="1"/>
  <c r="Q45" i="5"/>
  <c r="O46" i="5" a="1"/>
  <c r="O46" i="5" s="1"/>
  <c r="S41" i="6"/>
  <c r="O48" i="6" a="1"/>
  <c r="O48" i="6" s="1"/>
  <c r="X48" i="6" s="1"/>
  <c r="T41" i="7"/>
  <c r="Q43" i="7"/>
  <c r="S48" i="7"/>
  <c r="O44" i="8" a="1"/>
  <c r="O44" i="8" s="1"/>
  <c r="S45" i="9"/>
  <c r="H24" i="10"/>
  <c r="H38" i="10"/>
  <c r="S44" i="10"/>
  <c r="T45" i="10"/>
  <c r="Q47" i="10"/>
  <c r="Q41" i="11"/>
  <c r="H27" i="12"/>
  <c r="H33" i="12"/>
  <c r="T42" i="12"/>
  <c r="S46" i="12"/>
  <c r="O47" i="12" a="1"/>
  <c r="O47" i="12" s="1"/>
  <c r="H23" i="13"/>
  <c r="T48" i="13"/>
  <c r="Q45" i="14"/>
  <c r="E24" i="15"/>
  <c r="H33" i="15"/>
  <c r="R47" i="15"/>
  <c r="E19" i="16"/>
  <c r="H24" i="16"/>
  <c r="T41" i="16"/>
  <c r="Q43" i="16"/>
  <c r="S44" i="17"/>
  <c r="T45" i="17"/>
  <c r="Q47" i="17"/>
  <c r="H19" i="18"/>
  <c r="S45" i="18"/>
  <c r="T45" i="19"/>
  <c r="R47" i="19"/>
  <c r="S41" i="20"/>
  <c r="O42" i="20" a="1"/>
  <c r="O42" i="20" s="1"/>
  <c r="O48" i="20" a="1"/>
  <c r="O48" i="20" s="1"/>
  <c r="X48" i="20" s="1"/>
  <c r="Q42" i="21"/>
  <c r="T45" i="21"/>
  <c r="Q47" i="21"/>
  <c r="E15" i="22"/>
  <c r="S42" i="22"/>
  <c r="R47" i="22"/>
  <c r="E37" i="23"/>
  <c r="Q41" i="24"/>
  <c r="O48" i="25" a="1"/>
  <c r="O48" i="25" s="1"/>
  <c r="X48" i="25" s="1"/>
  <c r="Q45" i="26"/>
  <c r="O46" i="26" a="1"/>
  <c r="O46" i="26" s="1"/>
  <c r="T41" i="27"/>
  <c r="Q43" i="27"/>
  <c r="O48" i="27" a="1"/>
  <c r="O48" i="27" s="1"/>
  <c r="X48" i="27" s="1"/>
  <c r="S42" i="28"/>
  <c r="R45" i="28"/>
  <c r="O44" i="29" a="1"/>
  <c r="O44" i="29" s="1"/>
  <c r="S42" i="30"/>
  <c r="S45" i="30"/>
  <c r="R43" i="5"/>
  <c r="S47" i="5"/>
  <c r="O48" i="5" a="1"/>
  <c r="O48" i="5" s="1"/>
  <c r="T46" i="6"/>
  <c r="T48" i="6"/>
  <c r="S41" i="7"/>
  <c r="O42" i="7" a="1"/>
  <c r="O42" i="7" s="1"/>
  <c r="T46" i="7"/>
  <c r="T42" i="8"/>
  <c r="S42" i="10"/>
  <c r="Q45" i="10"/>
  <c r="E22" i="12"/>
  <c r="Q42" i="12"/>
  <c r="T45" i="12"/>
  <c r="R47" i="12"/>
  <c r="E27" i="13"/>
  <c r="T42" i="13"/>
  <c r="R44" i="13"/>
  <c r="E29" i="14"/>
  <c r="T41" i="14"/>
  <c r="R43" i="14"/>
  <c r="O48" i="14" a="1"/>
  <c r="O48" i="14" s="1"/>
  <c r="Q47" i="15"/>
  <c r="E30" i="16"/>
  <c r="S41" i="16"/>
  <c r="O42" i="16" a="1"/>
  <c r="O42" i="16" s="1"/>
  <c r="O48" i="16" a="1"/>
  <c r="O48" i="16" s="1"/>
  <c r="X48" i="16" s="1"/>
  <c r="Q45" i="17"/>
  <c r="R43" i="18"/>
  <c r="R43" i="19"/>
  <c r="S45" i="19"/>
  <c r="Q47" i="19"/>
  <c r="E15" i="20"/>
  <c r="O43" i="20" a="1"/>
  <c r="O43" i="20" s="1"/>
  <c r="T46" i="20"/>
  <c r="T48" i="20"/>
  <c r="E34" i="22"/>
  <c r="O44" i="22" a="1"/>
  <c r="O44" i="22" s="1"/>
  <c r="T45" i="22"/>
  <c r="Q47" i="22"/>
  <c r="T42" i="23"/>
  <c r="T44" i="23"/>
  <c r="S46" i="23"/>
  <c r="S43" i="24"/>
  <c r="T48" i="24"/>
  <c r="T41" i="25"/>
  <c r="R43" i="25"/>
  <c r="T46" i="25"/>
  <c r="T48" i="25"/>
  <c r="S42" i="26"/>
  <c r="R43" i="26"/>
  <c r="S47" i="26"/>
  <c r="O48" i="26" a="1"/>
  <c r="O48" i="26" s="1"/>
  <c r="X48" i="26" s="1"/>
  <c r="T46" i="27"/>
  <c r="Q48" i="27"/>
  <c r="R43" i="28"/>
  <c r="O48" i="28" a="1"/>
  <c r="O48" i="28" s="1"/>
  <c r="X48" i="28" s="1"/>
  <c r="T42" i="29"/>
  <c r="R47" i="29"/>
  <c r="T41" i="30"/>
  <c r="R43" i="30"/>
  <c r="S48" i="5"/>
  <c r="S43" i="7"/>
  <c r="R44" i="7"/>
  <c r="Q46" i="7"/>
  <c r="T45" i="8"/>
  <c r="R47" i="8"/>
  <c r="T41" i="9"/>
  <c r="R43" i="9"/>
  <c r="O48" i="9" a="1"/>
  <c r="O48" i="9" s="1"/>
  <c r="X48" i="9" s="1"/>
  <c r="E16" i="10"/>
  <c r="R43" i="10"/>
  <c r="O48" i="10" a="1"/>
  <c r="O48" i="10" s="1"/>
  <c r="X48" i="10" s="1"/>
  <c r="T42" i="11"/>
  <c r="O44" i="11" a="1"/>
  <c r="O44" i="11" s="1"/>
  <c r="S46" i="11"/>
  <c r="H13" i="12"/>
  <c r="S41" i="14"/>
  <c r="T46" i="14"/>
  <c r="T48" i="14"/>
  <c r="R43" i="15"/>
  <c r="T45" i="15"/>
  <c r="T46" i="16"/>
  <c r="T48" i="16"/>
  <c r="R43" i="17"/>
  <c r="O48" i="17" a="1"/>
  <c r="O48" i="17" s="1"/>
  <c r="X48" i="17" s="1"/>
  <c r="T41" i="18"/>
  <c r="Q43" i="18"/>
  <c r="O48" i="18" a="1"/>
  <c r="O48" i="18" s="1"/>
  <c r="X48" i="18" s="1"/>
  <c r="T41" i="19"/>
  <c r="Q43" i="19"/>
  <c r="S42" i="21"/>
  <c r="R43" i="21"/>
  <c r="T47" i="21"/>
  <c r="S45" i="22"/>
  <c r="Q42" i="23"/>
  <c r="R47" i="23"/>
  <c r="T42" i="24"/>
  <c r="O44" i="24" a="1"/>
  <c r="O44" i="24" s="1"/>
  <c r="X44" i="24" s="1"/>
  <c r="Q41" i="25"/>
  <c r="Q46" i="25"/>
  <c r="T41" i="26"/>
  <c r="Q43" i="26"/>
  <c r="T48" i="26"/>
  <c r="T43" i="27"/>
  <c r="Q46" i="27"/>
  <c r="T41" i="28"/>
  <c r="Q43" i="28"/>
  <c r="T46" i="28"/>
  <c r="T48" i="28"/>
  <c r="T45" i="29"/>
  <c r="Q47" i="29"/>
  <c r="S41" i="30"/>
  <c r="O48" i="30" a="1"/>
  <c r="O48" i="30" s="1"/>
  <c r="X48" i="30" s="1"/>
  <c r="O42" i="5" a="1"/>
  <c r="O42" i="5" s="1"/>
  <c r="T46" i="5"/>
  <c r="T42" i="6"/>
  <c r="O44" i="6" a="1"/>
  <c r="O44" i="6" s="1"/>
  <c r="O44" i="7" a="1"/>
  <c r="O44" i="7" s="1"/>
  <c r="Q45" i="8"/>
  <c r="O46" i="8" a="1"/>
  <c r="O46" i="8" s="1"/>
  <c r="S41" i="9"/>
  <c r="T46" i="9"/>
  <c r="T48" i="9"/>
  <c r="H36" i="10"/>
  <c r="T41" i="10"/>
  <c r="Q43" i="10"/>
  <c r="T46" i="10"/>
  <c r="T48" i="10"/>
  <c r="R47" i="11"/>
  <c r="S42" i="12"/>
  <c r="T47" i="12"/>
  <c r="O48" i="12" a="1"/>
  <c r="O48" i="12" s="1"/>
  <c r="E12" i="13"/>
  <c r="H15" i="13"/>
  <c r="O44" i="13" a="1"/>
  <c r="O44" i="13" s="1"/>
  <c r="R47" i="13"/>
  <c r="E36" i="15"/>
  <c r="Q43" i="15"/>
  <c r="R45" i="15"/>
  <c r="H25" i="16"/>
  <c r="H36" i="17"/>
  <c r="T41" i="17"/>
  <c r="Q43" i="17"/>
  <c r="T46" i="17"/>
  <c r="R48" i="17"/>
  <c r="S41" i="18"/>
  <c r="T46" i="18"/>
  <c r="T48" i="18"/>
  <c r="Q41" i="19"/>
  <c r="O48" i="19" a="1"/>
  <c r="O48" i="19" s="1"/>
  <c r="X48" i="19" s="1"/>
  <c r="T42" i="20"/>
  <c r="O44" i="20" a="1"/>
  <c r="O44" i="20" s="1"/>
  <c r="H36" i="21"/>
  <c r="T41" i="21"/>
  <c r="Q43" i="21"/>
  <c r="O48" i="21" a="1"/>
  <c r="O48" i="21" s="1"/>
  <c r="X48" i="21" s="1"/>
  <c r="R43" i="22"/>
  <c r="O48" i="22" a="1"/>
  <c r="O48" i="22" s="1"/>
  <c r="X48" i="22" s="1"/>
  <c r="O44" i="23" a="1"/>
  <c r="O44" i="23" s="1"/>
  <c r="X44" i="23" s="1"/>
  <c r="T45" i="23"/>
  <c r="Q47" i="23"/>
  <c r="O47" i="24" a="1"/>
  <c r="O47" i="24" s="1"/>
  <c r="X47" i="24" s="1"/>
  <c r="S48" i="25"/>
  <c r="H36" i="26"/>
  <c r="Q41" i="26"/>
  <c r="O42" i="26" a="1"/>
  <c r="O42" i="26" s="1"/>
  <c r="T46" i="26"/>
  <c r="O44" i="27" a="1"/>
  <c r="O44" i="27" s="1"/>
  <c r="S41" i="28"/>
  <c r="Q45" i="29"/>
  <c r="O46" i="29" a="1"/>
  <c r="O46" i="29" s="1"/>
  <c r="T46" i="30"/>
  <c r="T48" i="30"/>
  <c r="Q42" i="6"/>
  <c r="R47" i="6"/>
  <c r="T42" i="7"/>
  <c r="S46" i="7"/>
  <c r="R47" i="7"/>
  <c r="S42" i="8"/>
  <c r="S47" i="8"/>
  <c r="O48" i="8" a="1"/>
  <c r="O48" i="8" s="1"/>
  <c r="X48" i="8" s="1"/>
  <c r="O43" i="9" a="1"/>
  <c r="O43" i="9" s="1"/>
  <c r="Q46" i="9"/>
  <c r="S41" i="10"/>
  <c r="S44" i="11"/>
  <c r="T45" i="11"/>
  <c r="Q47" i="11"/>
  <c r="T41" i="12"/>
  <c r="R43" i="12"/>
  <c r="R48" i="12"/>
  <c r="S42" i="13"/>
  <c r="T45" i="13"/>
  <c r="Q47" i="13"/>
  <c r="T42" i="14"/>
  <c r="O44" i="14" a="1"/>
  <c r="O44" i="14" s="1"/>
  <c r="T41" i="15"/>
  <c r="O48" i="15" a="1"/>
  <c r="O48" i="15" s="1"/>
  <c r="X48" i="15" s="1"/>
  <c r="T42" i="16"/>
  <c r="O44" i="16" a="1"/>
  <c r="O44" i="16" s="1"/>
  <c r="S41" i="17"/>
  <c r="S46" i="17"/>
  <c r="S43" i="18"/>
  <c r="Q46" i="18"/>
  <c r="T46" i="19"/>
  <c r="R48" i="19"/>
  <c r="Q42" i="20"/>
  <c r="T46" i="21"/>
  <c r="Q48" i="21"/>
  <c r="E32" i="22"/>
  <c r="H36" i="22"/>
  <c r="T41" i="22"/>
  <c r="Q43" i="22"/>
  <c r="T46" i="22"/>
  <c r="S42" i="23"/>
  <c r="Q45" i="23"/>
  <c r="S44" i="24"/>
  <c r="T45" i="24"/>
  <c r="R47" i="24"/>
  <c r="T42" i="25"/>
  <c r="T44" i="25"/>
  <c r="S46" i="25"/>
  <c r="S43" i="26"/>
  <c r="T42" i="27"/>
  <c r="S46" i="27"/>
  <c r="R47" i="27"/>
  <c r="S48" i="28"/>
  <c r="R43" i="29"/>
  <c r="T47" i="29"/>
  <c r="O44" i="5" a="1"/>
  <c r="O44" i="5" s="1"/>
  <c r="T45" i="6"/>
  <c r="Q47" i="6"/>
  <c r="Q42" i="7"/>
  <c r="T45" i="7"/>
  <c r="Q47" i="7"/>
  <c r="T41" i="8"/>
  <c r="R43" i="8"/>
  <c r="T48" i="8"/>
  <c r="Q44" i="9"/>
  <c r="S42" i="11"/>
  <c r="S45" i="11"/>
  <c r="T46" i="12"/>
  <c r="R43" i="13"/>
  <c r="Q45" i="13"/>
  <c r="Q42" i="14"/>
  <c r="S46" i="14"/>
  <c r="T46" i="15"/>
  <c r="T48" i="15"/>
  <c r="Q42" i="16"/>
  <c r="S46" i="16"/>
  <c r="R47" i="16"/>
  <c r="E23" i="17"/>
  <c r="T44" i="17"/>
  <c r="S48" i="17"/>
  <c r="O44" i="18" a="1"/>
  <c r="O44" i="18" s="1"/>
  <c r="E29" i="19"/>
  <c r="T42" i="19"/>
  <c r="R44" i="19"/>
  <c r="T45" i="20"/>
  <c r="R47" i="20"/>
  <c r="S43" i="21"/>
  <c r="Q46" i="21"/>
  <c r="S41" i="22"/>
  <c r="R43" i="23"/>
  <c r="O48" i="23" a="1"/>
  <c r="O48" i="23" s="1"/>
  <c r="X48" i="23" s="1"/>
  <c r="H11" i="24"/>
  <c r="R45" i="24"/>
  <c r="Q42" i="25"/>
  <c r="O44" i="26" a="1"/>
  <c r="O44" i="26" s="1"/>
  <c r="Q42" i="27"/>
  <c r="T45" i="27"/>
  <c r="Q47" i="27"/>
  <c r="T42" i="28"/>
  <c r="O44" i="28" a="1"/>
  <c r="O44" i="28" s="1"/>
  <c r="T41" i="29"/>
  <c r="Q43" i="29"/>
  <c r="O48" i="29" a="1"/>
  <c r="O48" i="29" s="1"/>
  <c r="X48" i="29" s="1"/>
  <c r="T42" i="30"/>
  <c r="O44" i="30" a="1"/>
  <c r="O44" i="30" s="1"/>
  <c r="S46" i="5"/>
  <c r="R47" i="5"/>
  <c r="S45" i="6"/>
  <c r="S45" i="7"/>
  <c r="O46" i="7" a="1"/>
  <c r="O46" i="7" s="1"/>
  <c r="Q41" i="8"/>
  <c r="O42" i="8" a="1"/>
  <c r="O42" i="8" s="1"/>
  <c r="T46" i="8"/>
  <c r="T42" i="9"/>
  <c r="T42" i="10"/>
  <c r="O44" i="10" a="1"/>
  <c r="O44" i="10" s="1"/>
  <c r="S46" i="10"/>
  <c r="O48" i="11" a="1"/>
  <c r="O48" i="11" s="1"/>
  <c r="T43" i="12"/>
  <c r="Q46" i="12"/>
  <c r="E32" i="13"/>
  <c r="T41" i="13"/>
  <c r="Q43" i="13"/>
  <c r="O48" i="13" a="1"/>
  <c r="O48" i="13" s="1"/>
  <c r="H24" i="14"/>
  <c r="O47" i="14" a="1"/>
  <c r="O47" i="14" s="1"/>
  <c r="T45" i="16"/>
  <c r="Q47" i="16"/>
  <c r="T42" i="17"/>
  <c r="O44" i="17" a="1"/>
  <c r="O44" i="17" s="1"/>
  <c r="T42" i="18"/>
  <c r="R47" i="18"/>
  <c r="E19" i="19"/>
  <c r="T48" i="19"/>
  <c r="Q45" i="20"/>
  <c r="O46" i="20" a="1"/>
  <c r="O46" i="20" s="1"/>
  <c r="O44" i="21" a="1"/>
  <c r="O44" i="21" s="1"/>
  <c r="S48" i="22"/>
  <c r="T41" i="23"/>
  <c r="Q43" i="23"/>
  <c r="T46" i="23"/>
  <c r="T48" i="23"/>
  <c r="O48" i="24" a="1"/>
  <c r="O48" i="24" s="1"/>
  <c r="X48" i="24" s="1"/>
  <c r="O44" i="25" a="1"/>
  <c r="O44" i="25" s="1"/>
  <c r="T45" i="25"/>
  <c r="R47" i="25"/>
  <c r="T42" i="26"/>
  <c r="S46" i="26"/>
  <c r="O47" i="26" a="1"/>
  <c r="O47" i="26" s="1"/>
  <c r="E15" i="27"/>
  <c r="R47" i="28"/>
  <c r="Q41" i="29"/>
  <c r="O42" i="29" a="1"/>
  <c r="O42" i="29" s="1"/>
  <c r="T46" i="29"/>
  <c r="S48" i="29"/>
  <c r="Q42" i="30"/>
  <c r="S46" i="30"/>
  <c r="E11" i="30"/>
  <c r="E21" i="30"/>
  <c r="H29" i="30"/>
  <c r="E33" i="30"/>
  <c r="T43" i="30"/>
  <c r="R44" i="30"/>
  <c r="T47" i="30"/>
  <c r="R48" i="30"/>
  <c r="Q44" i="30"/>
  <c r="E37" i="30"/>
  <c r="Q41" i="30"/>
  <c r="O42" i="30" a="1"/>
  <c r="O42" i="30" s="1"/>
  <c r="S44" i="30"/>
  <c r="Q45" i="30"/>
  <c r="O46" i="30" a="1"/>
  <c r="O46" i="30" s="1"/>
  <c r="S48" i="30"/>
  <c r="Q48" i="30"/>
  <c r="H37" i="30"/>
  <c r="R41" i="30"/>
  <c r="T44" i="30"/>
  <c r="R45" i="30"/>
  <c r="E23" i="30"/>
  <c r="H30" i="30"/>
  <c r="E34" i="30"/>
  <c r="O43" i="30" a="1"/>
  <c r="O43" i="30" s="1"/>
  <c r="Q46" i="30"/>
  <c r="O47" i="30" a="1"/>
  <c r="O47" i="30" s="1"/>
  <c r="H12" i="30"/>
  <c r="H23" i="30"/>
  <c r="H34" i="30"/>
  <c r="R42" i="30"/>
  <c r="R46" i="30"/>
  <c r="H16" i="30"/>
  <c r="Q43" i="30"/>
  <c r="Q47" i="30"/>
  <c r="E13" i="30"/>
  <c r="S43" i="29"/>
  <c r="Q44" i="29"/>
  <c r="Q48" i="29"/>
  <c r="E11" i="29"/>
  <c r="E21" i="29"/>
  <c r="H29" i="29"/>
  <c r="E33" i="29"/>
  <c r="T43" i="29"/>
  <c r="R44" i="29"/>
  <c r="R48" i="29"/>
  <c r="H37" i="29"/>
  <c r="R41" i="29"/>
  <c r="T44" i="29"/>
  <c r="R45" i="29"/>
  <c r="T48" i="29"/>
  <c r="S44" i="29"/>
  <c r="E23" i="29"/>
  <c r="H30" i="29"/>
  <c r="S41" i="29"/>
  <c r="Q42" i="29"/>
  <c r="S45" i="29"/>
  <c r="Q46" i="29"/>
  <c r="O47" i="29" a="1"/>
  <c r="O47" i="29" s="1"/>
  <c r="X47" i="29" s="1"/>
  <c r="H23" i="29"/>
  <c r="H34" i="29"/>
  <c r="R42" i="29"/>
  <c r="R46" i="29"/>
  <c r="H16" i="29"/>
  <c r="H27" i="29"/>
  <c r="S42" i="29"/>
  <c r="S46" i="29"/>
  <c r="E37" i="29"/>
  <c r="E13" i="29"/>
  <c r="E24" i="29"/>
  <c r="H13" i="28"/>
  <c r="E17" i="28"/>
  <c r="O41" i="28" a="1"/>
  <c r="O41" i="28" s="1"/>
  <c r="S43" i="28"/>
  <c r="Q44" i="28"/>
  <c r="O45" i="28" a="1"/>
  <c r="O45" i="28" s="1"/>
  <c r="S47" i="28"/>
  <c r="Q48" i="28"/>
  <c r="Q45" i="28"/>
  <c r="E11" i="28"/>
  <c r="E21" i="28"/>
  <c r="H29" i="28"/>
  <c r="E33" i="28"/>
  <c r="T43" i="28"/>
  <c r="R44" i="28"/>
  <c r="T47" i="28"/>
  <c r="R48" i="28"/>
  <c r="H37" i="28"/>
  <c r="R41" i="28"/>
  <c r="T44" i="28"/>
  <c r="Q41" i="28"/>
  <c r="E23" i="28"/>
  <c r="Q42" i="28"/>
  <c r="O43" i="28" a="1"/>
  <c r="O43" i="28" s="1"/>
  <c r="S45" i="28"/>
  <c r="Q46" i="28"/>
  <c r="O47" i="28" a="1"/>
  <c r="O47" i="28" s="1"/>
  <c r="R42" i="28"/>
  <c r="R46" i="28"/>
  <c r="H27" i="28"/>
  <c r="S46" i="28"/>
  <c r="E24" i="28"/>
  <c r="H36" i="27"/>
  <c r="S43" i="27"/>
  <c r="E21" i="27"/>
  <c r="R48" i="27"/>
  <c r="E37" i="27"/>
  <c r="Q41" i="27"/>
  <c r="O42" i="27" a="1"/>
  <c r="O42" i="27" s="1"/>
  <c r="S44" i="27"/>
  <c r="Q45" i="27"/>
  <c r="O46" i="27" a="1"/>
  <c r="O46" i="27" s="1"/>
  <c r="S48" i="27"/>
  <c r="Q44" i="27"/>
  <c r="E11" i="27"/>
  <c r="H29" i="27"/>
  <c r="H37" i="27"/>
  <c r="R41" i="27"/>
  <c r="T44" i="27"/>
  <c r="R45" i="27"/>
  <c r="T48" i="27"/>
  <c r="E23" i="27"/>
  <c r="H30" i="27"/>
  <c r="S41" i="27"/>
  <c r="O43" i="27" a="1"/>
  <c r="O43" i="27" s="1"/>
  <c r="S45" i="27"/>
  <c r="O47" i="27" a="1"/>
  <c r="O47" i="27" s="1"/>
  <c r="R44" i="27"/>
  <c r="H12" i="27"/>
  <c r="H34" i="27"/>
  <c r="R42" i="27"/>
  <c r="R46" i="27"/>
  <c r="H16" i="27"/>
  <c r="E13" i="27"/>
  <c r="Q44" i="26"/>
  <c r="Q48" i="26"/>
  <c r="E11" i="26"/>
  <c r="E21" i="26"/>
  <c r="H29" i="26"/>
  <c r="E33" i="26"/>
  <c r="T43" i="26"/>
  <c r="R44" i="26"/>
  <c r="T47" i="26"/>
  <c r="R48" i="26"/>
  <c r="S48" i="26"/>
  <c r="H37" i="26"/>
  <c r="R41" i="26"/>
  <c r="T44" i="26"/>
  <c r="R45" i="26"/>
  <c r="E37" i="26"/>
  <c r="E23" i="26"/>
  <c r="H30" i="26"/>
  <c r="S41" i="26"/>
  <c r="O43" i="26" a="1"/>
  <c r="O43" i="26" s="1"/>
  <c r="X43" i="26" s="1"/>
  <c r="S45" i="26"/>
  <c r="Q46" i="26"/>
  <c r="H12" i="26"/>
  <c r="H23" i="26"/>
  <c r="H34" i="26"/>
  <c r="R42" i="26"/>
  <c r="R46" i="26"/>
  <c r="S44" i="26"/>
  <c r="H16" i="26"/>
  <c r="H27" i="26"/>
  <c r="Q47" i="26"/>
  <c r="E13" i="26"/>
  <c r="E24" i="26"/>
  <c r="S44" i="25"/>
  <c r="Q45" i="25"/>
  <c r="H13" i="25"/>
  <c r="E17" i="25"/>
  <c r="O41" i="25" a="1"/>
  <c r="O41" i="25" s="1"/>
  <c r="X44" i="25" s="1"/>
  <c r="S43" i="25"/>
  <c r="Q44" i="25"/>
  <c r="S47" i="25"/>
  <c r="Q48" i="25"/>
  <c r="E11" i="25"/>
  <c r="E21" i="25"/>
  <c r="H29" i="25"/>
  <c r="E33" i="25"/>
  <c r="T43" i="25"/>
  <c r="R44" i="25"/>
  <c r="T47" i="25"/>
  <c r="R48" i="25"/>
  <c r="E19" i="25"/>
  <c r="H37" i="25"/>
  <c r="R41" i="25"/>
  <c r="R45" i="25"/>
  <c r="E23" i="25"/>
  <c r="S41" i="25"/>
  <c r="O43" i="25" a="1"/>
  <c r="O43" i="25" s="1"/>
  <c r="S45" i="25"/>
  <c r="O47" i="25" a="1"/>
  <c r="O47" i="25" s="1"/>
  <c r="H12" i="25"/>
  <c r="H23" i="25"/>
  <c r="R42" i="25"/>
  <c r="R46" i="25"/>
  <c r="H27" i="25"/>
  <c r="Q43" i="25"/>
  <c r="Q47" i="25"/>
  <c r="E24" i="25"/>
  <c r="Q45" i="24"/>
  <c r="T44" i="24"/>
  <c r="H13" i="24"/>
  <c r="E17" i="24"/>
  <c r="O41" i="24" a="1"/>
  <c r="O41" i="24" s="1"/>
  <c r="X41" i="24" s="1"/>
  <c r="Q44" i="24"/>
  <c r="O45" i="24" a="1"/>
  <c r="O45" i="24" s="1"/>
  <c r="X45" i="24" s="1"/>
  <c r="S47" i="24"/>
  <c r="Q48" i="24"/>
  <c r="E11" i="24"/>
  <c r="E21" i="24"/>
  <c r="H29" i="24"/>
  <c r="E33" i="24"/>
  <c r="T43" i="24"/>
  <c r="R44" i="24"/>
  <c r="T47" i="24"/>
  <c r="R41" i="24"/>
  <c r="H19" i="24"/>
  <c r="E23" i="24"/>
  <c r="S41" i="24"/>
  <c r="Q42" i="24"/>
  <c r="O43" i="24" a="1"/>
  <c r="O43" i="24" s="1"/>
  <c r="X43" i="24" s="1"/>
  <c r="S45" i="24"/>
  <c r="Q46" i="24"/>
  <c r="R42" i="24"/>
  <c r="R46" i="24"/>
  <c r="H27" i="24"/>
  <c r="S42" i="24"/>
  <c r="Q43" i="24"/>
  <c r="S46" i="24"/>
  <c r="Q47" i="24"/>
  <c r="E24" i="24"/>
  <c r="H13" i="23"/>
  <c r="E17" i="23"/>
  <c r="H24" i="23"/>
  <c r="E29" i="23"/>
  <c r="O41" i="23" a="1"/>
  <c r="O41" i="23" s="1"/>
  <c r="X41" i="23" s="1"/>
  <c r="S43" i="23"/>
  <c r="Q44" i="23"/>
  <c r="O45" i="23" a="1"/>
  <c r="O45" i="23" s="1"/>
  <c r="X45" i="23" s="1"/>
  <c r="S47" i="23"/>
  <c r="Q48" i="23"/>
  <c r="E11" i="23"/>
  <c r="E21" i="23"/>
  <c r="H29" i="23"/>
  <c r="E33" i="23"/>
  <c r="T43" i="23"/>
  <c r="R44" i="23"/>
  <c r="T47" i="23"/>
  <c r="R48" i="23"/>
  <c r="H33" i="23"/>
  <c r="E19" i="23"/>
  <c r="H37" i="23"/>
  <c r="R41" i="23"/>
  <c r="R45" i="23"/>
  <c r="S41" i="23"/>
  <c r="O43" i="23" a="1"/>
  <c r="O43" i="23" s="1"/>
  <c r="X43" i="23" s="1"/>
  <c r="S45" i="23"/>
  <c r="Q46" i="23"/>
  <c r="O47" i="23" a="1"/>
  <c r="O47" i="23" s="1"/>
  <c r="X47" i="23" s="1"/>
  <c r="S44" i="23"/>
  <c r="H12" i="23"/>
  <c r="H23" i="23"/>
  <c r="R42" i="23"/>
  <c r="R46" i="23"/>
  <c r="H27" i="23"/>
  <c r="E24" i="23"/>
  <c r="Q41" i="22"/>
  <c r="H13" i="22"/>
  <c r="E17" i="22"/>
  <c r="O41" i="22" a="1"/>
  <c r="O41" i="22" s="1"/>
  <c r="S43" i="22"/>
  <c r="Q44" i="22"/>
  <c r="O45" i="22" a="1"/>
  <c r="O45" i="22" s="1"/>
  <c r="S47" i="22"/>
  <c r="Q48" i="22"/>
  <c r="Q45" i="22"/>
  <c r="E11" i="22"/>
  <c r="E21" i="22"/>
  <c r="E33" i="22"/>
  <c r="T43" i="22"/>
  <c r="R44" i="22"/>
  <c r="T47" i="22"/>
  <c r="R48" i="22"/>
  <c r="H37" i="22"/>
  <c r="R41" i="22"/>
  <c r="R45" i="22"/>
  <c r="T48" i="22"/>
  <c r="Q42" i="22"/>
  <c r="O43" i="22" a="1"/>
  <c r="O43" i="22" s="1"/>
  <c r="Q46" i="22"/>
  <c r="O47" i="22" a="1"/>
  <c r="O47" i="22" s="1"/>
  <c r="S44" i="22"/>
  <c r="H23" i="22"/>
  <c r="R42" i="22"/>
  <c r="R46" i="22"/>
  <c r="H27" i="22"/>
  <c r="E24" i="22"/>
  <c r="T43" i="21"/>
  <c r="R44" i="21"/>
  <c r="R48" i="21"/>
  <c r="E11" i="21"/>
  <c r="E37" i="21"/>
  <c r="Q41" i="21"/>
  <c r="O42" i="21" a="1"/>
  <c r="O42" i="21" s="1"/>
  <c r="X42" i="21" s="1"/>
  <c r="S44" i="21"/>
  <c r="Q45" i="21"/>
  <c r="O46" i="21" a="1"/>
  <c r="O46" i="21" s="1"/>
  <c r="S48" i="21"/>
  <c r="R41" i="21"/>
  <c r="T44" i="21"/>
  <c r="R45" i="21"/>
  <c r="T48" i="21"/>
  <c r="E23" i="21"/>
  <c r="H30" i="21"/>
  <c r="E34" i="21"/>
  <c r="S41" i="21"/>
  <c r="O43" i="21" a="1"/>
  <c r="O43" i="21" s="1"/>
  <c r="S45" i="21"/>
  <c r="O47" i="21" a="1"/>
  <c r="O47" i="21" s="1"/>
  <c r="H34" i="21"/>
  <c r="R42" i="21"/>
  <c r="R46" i="21"/>
  <c r="Q44" i="21"/>
  <c r="E21" i="21"/>
  <c r="H16" i="21"/>
  <c r="E13" i="21"/>
  <c r="Q48" i="20"/>
  <c r="E11" i="20"/>
  <c r="E21" i="20"/>
  <c r="H29" i="20"/>
  <c r="E33" i="20"/>
  <c r="T43" i="20"/>
  <c r="R44" i="20"/>
  <c r="R48" i="20"/>
  <c r="E37" i="20"/>
  <c r="Q41" i="20"/>
  <c r="S44" i="20"/>
  <c r="S48" i="20"/>
  <c r="H37" i="20"/>
  <c r="R41" i="20"/>
  <c r="T44" i="20"/>
  <c r="R45" i="20"/>
  <c r="E23" i="20"/>
  <c r="H30" i="20"/>
  <c r="E34" i="20"/>
  <c r="S45" i="20"/>
  <c r="Q46" i="20"/>
  <c r="O47" i="20" a="1"/>
  <c r="O47" i="20" s="1"/>
  <c r="X47" i="20" s="1"/>
  <c r="H23" i="20"/>
  <c r="H34" i="20"/>
  <c r="R42" i="20"/>
  <c r="R46" i="20"/>
  <c r="Q44" i="20"/>
  <c r="H16" i="20"/>
  <c r="S42" i="20"/>
  <c r="Q43" i="20"/>
  <c r="S46" i="20"/>
  <c r="Q47" i="20"/>
  <c r="E13" i="20"/>
  <c r="E24" i="20"/>
  <c r="H13" i="19"/>
  <c r="E17" i="19"/>
  <c r="O41" i="19" a="1"/>
  <c r="O41" i="19" s="1"/>
  <c r="S43" i="19"/>
  <c r="Q44" i="19"/>
  <c r="O45" i="19" a="1"/>
  <c r="O45" i="19" s="1"/>
  <c r="S47" i="19"/>
  <c r="Q48" i="19"/>
  <c r="E21" i="19"/>
  <c r="E33" i="19"/>
  <c r="T43" i="19"/>
  <c r="T47" i="19"/>
  <c r="H37" i="19"/>
  <c r="R41" i="19"/>
  <c r="T44" i="19"/>
  <c r="R45" i="19"/>
  <c r="S41" i="19"/>
  <c r="Q42" i="19"/>
  <c r="O43" i="19" a="1"/>
  <c r="O43" i="19" s="1"/>
  <c r="Q46" i="19"/>
  <c r="O47" i="19" a="1"/>
  <c r="O47" i="19" s="1"/>
  <c r="H12" i="19"/>
  <c r="H23" i="19"/>
  <c r="R42" i="19"/>
  <c r="R46" i="19"/>
  <c r="H27" i="19"/>
  <c r="S42" i="19"/>
  <c r="S46" i="19"/>
  <c r="E24" i="19"/>
  <c r="Q48" i="18"/>
  <c r="E11" i="18"/>
  <c r="E21" i="18"/>
  <c r="H29" i="18"/>
  <c r="E33" i="18"/>
  <c r="T43" i="18"/>
  <c r="R44" i="18"/>
  <c r="T47" i="18"/>
  <c r="R48" i="18"/>
  <c r="E37" i="18"/>
  <c r="Q41" i="18"/>
  <c r="O42" i="18" a="1"/>
  <c r="O42" i="18" s="1"/>
  <c r="S44" i="18"/>
  <c r="Q45" i="18"/>
  <c r="O46" i="18" a="1"/>
  <c r="O46" i="18" s="1"/>
  <c r="S48" i="18"/>
  <c r="Q44" i="18"/>
  <c r="R41" i="18"/>
  <c r="T44" i="18"/>
  <c r="R45" i="18"/>
  <c r="E23" i="18"/>
  <c r="H30" i="18"/>
  <c r="E34" i="18"/>
  <c r="Q42" i="18"/>
  <c r="O43" i="18" a="1"/>
  <c r="O43" i="18" s="1"/>
  <c r="O47" i="18" a="1"/>
  <c r="O47" i="18" s="1"/>
  <c r="H34" i="18"/>
  <c r="R42" i="18"/>
  <c r="R46" i="18"/>
  <c r="H16" i="18"/>
  <c r="S46" i="18"/>
  <c r="E13" i="18"/>
  <c r="H13" i="17"/>
  <c r="E17" i="17"/>
  <c r="O41" i="17" a="1"/>
  <c r="O41" i="17" s="1"/>
  <c r="S43" i="17"/>
  <c r="Q44" i="17"/>
  <c r="O45" i="17" a="1"/>
  <c r="O45" i="17" s="1"/>
  <c r="S47" i="17"/>
  <c r="Q48" i="17"/>
  <c r="Q41" i="17"/>
  <c r="E11" i="17"/>
  <c r="E21" i="17"/>
  <c r="H29" i="17"/>
  <c r="E33" i="17"/>
  <c r="T43" i="17"/>
  <c r="R44" i="17"/>
  <c r="T47" i="17"/>
  <c r="H37" i="17"/>
  <c r="R41" i="17"/>
  <c r="R45" i="17"/>
  <c r="T48" i="17"/>
  <c r="Q42" i="17"/>
  <c r="O43" i="17" a="1"/>
  <c r="O43" i="17" s="1"/>
  <c r="S45" i="17"/>
  <c r="Q46" i="17"/>
  <c r="O47" i="17" a="1"/>
  <c r="O47" i="17" s="1"/>
  <c r="R42" i="17"/>
  <c r="R46" i="17"/>
  <c r="H27" i="17"/>
  <c r="E24" i="17"/>
  <c r="Q48" i="16"/>
  <c r="E11" i="16"/>
  <c r="E21" i="16"/>
  <c r="H29" i="16"/>
  <c r="E33" i="16"/>
  <c r="T43" i="16"/>
  <c r="R44" i="16"/>
  <c r="T47" i="16"/>
  <c r="R48" i="16"/>
  <c r="E37" i="16"/>
  <c r="Q41" i="16"/>
  <c r="S44" i="16"/>
  <c r="O46" i="16" a="1"/>
  <c r="O46" i="16" s="1"/>
  <c r="S48" i="16"/>
  <c r="H37" i="16"/>
  <c r="R41" i="16"/>
  <c r="T44" i="16"/>
  <c r="R45" i="16"/>
  <c r="E23" i="16"/>
  <c r="H30" i="16"/>
  <c r="E34" i="16"/>
  <c r="O43" i="16" a="1"/>
  <c r="O43" i="16" s="1"/>
  <c r="S45" i="16"/>
  <c r="Q46" i="16"/>
  <c r="O47" i="16" a="1"/>
  <c r="O47" i="16" s="1"/>
  <c r="H23" i="16"/>
  <c r="H34" i="16"/>
  <c r="R42" i="16"/>
  <c r="R46" i="16"/>
  <c r="Q44" i="16"/>
  <c r="H16" i="16"/>
  <c r="E13" i="16"/>
  <c r="Q48" i="15"/>
  <c r="E11" i="15"/>
  <c r="E21" i="15"/>
  <c r="H29" i="15"/>
  <c r="T43" i="15"/>
  <c r="R44" i="15"/>
  <c r="T47" i="15"/>
  <c r="R48" i="15"/>
  <c r="E37" i="15"/>
  <c r="Q41" i="15"/>
  <c r="O42" i="15" a="1"/>
  <c r="O42" i="15" s="1"/>
  <c r="S44" i="15"/>
  <c r="Q45" i="15"/>
  <c r="O46" i="15" a="1"/>
  <c r="O46" i="15" s="1"/>
  <c r="S48" i="15"/>
  <c r="R41" i="15"/>
  <c r="T44" i="15"/>
  <c r="E23" i="15"/>
  <c r="H30" i="15"/>
  <c r="E34" i="15"/>
  <c r="S41" i="15"/>
  <c r="Q42" i="15"/>
  <c r="O43" i="15" a="1"/>
  <c r="O43" i="15" s="1"/>
  <c r="S45" i="15"/>
  <c r="Q46" i="15"/>
  <c r="O47" i="15" a="1"/>
  <c r="O47" i="15" s="1"/>
  <c r="X47" i="15" s="1"/>
  <c r="H34" i="15"/>
  <c r="R42" i="15"/>
  <c r="R46" i="15"/>
  <c r="Q44" i="15"/>
  <c r="H16" i="15"/>
  <c r="S42" i="15"/>
  <c r="S46" i="15"/>
  <c r="E13" i="15"/>
  <c r="Q41" i="14"/>
  <c r="E15" i="14"/>
  <c r="O41" i="14" a="1"/>
  <c r="O41" i="14" s="1"/>
  <c r="S43" i="14"/>
  <c r="Q44" i="14"/>
  <c r="O45" i="14" a="1"/>
  <c r="O45" i="14" s="1"/>
  <c r="S47" i="14"/>
  <c r="Q48" i="14"/>
  <c r="E34" i="14"/>
  <c r="T43" i="14"/>
  <c r="R44" i="14"/>
  <c r="T47" i="14"/>
  <c r="R48" i="14"/>
  <c r="H13" i="14"/>
  <c r="E24" i="14"/>
  <c r="H37" i="14"/>
  <c r="R41" i="14"/>
  <c r="T44" i="14"/>
  <c r="R45" i="14"/>
  <c r="O43" i="14" a="1"/>
  <c r="O43" i="14" s="1"/>
  <c r="S45" i="14"/>
  <c r="Q46" i="14"/>
  <c r="H11" i="14"/>
  <c r="H19" i="14"/>
  <c r="E22" i="14"/>
  <c r="H27" i="14"/>
  <c r="R42" i="14"/>
  <c r="R46" i="14"/>
  <c r="E17" i="14"/>
  <c r="E25" i="14"/>
  <c r="E33" i="14"/>
  <c r="Q43" i="14"/>
  <c r="Q47" i="14"/>
  <c r="H33" i="14"/>
  <c r="E15" i="13"/>
  <c r="O41" i="13" a="1"/>
  <c r="O41" i="13" s="1"/>
  <c r="S43" i="13"/>
  <c r="Q44" i="13"/>
  <c r="O45" i="13" a="1"/>
  <c r="O45" i="13" s="1"/>
  <c r="S47" i="13"/>
  <c r="Q41" i="13"/>
  <c r="T43" i="13"/>
  <c r="T47" i="13"/>
  <c r="R48" i="13"/>
  <c r="H13" i="13"/>
  <c r="E24" i="13"/>
  <c r="H37" i="13"/>
  <c r="R41" i="13"/>
  <c r="T44" i="13"/>
  <c r="R45" i="13"/>
  <c r="Q42" i="13"/>
  <c r="O43" i="13" a="1"/>
  <c r="O43" i="13" s="1"/>
  <c r="S45" i="13"/>
  <c r="Q46" i="13"/>
  <c r="O47" i="13" a="1"/>
  <c r="O47" i="13" s="1"/>
  <c r="H11" i="13"/>
  <c r="H19" i="13"/>
  <c r="E22" i="13"/>
  <c r="H27" i="13"/>
  <c r="R42" i="13"/>
  <c r="R46" i="13"/>
  <c r="E17" i="13"/>
  <c r="E25" i="13"/>
  <c r="E33" i="13"/>
  <c r="S46" i="13"/>
  <c r="H33" i="13"/>
  <c r="H36" i="12"/>
  <c r="S43" i="12"/>
  <c r="Q44" i="12"/>
  <c r="S47" i="12"/>
  <c r="R44" i="12"/>
  <c r="E13" i="12"/>
  <c r="H18" i="12"/>
  <c r="E21" i="12"/>
  <c r="H34" i="12"/>
  <c r="E37" i="12"/>
  <c r="Q41" i="12"/>
  <c r="O42" i="12" a="1"/>
  <c r="O42" i="12" s="1"/>
  <c r="S44" i="12"/>
  <c r="Q45" i="12"/>
  <c r="O46" i="12" a="1"/>
  <c r="O46" i="12" s="1"/>
  <c r="S48" i="12"/>
  <c r="Q48" i="12"/>
  <c r="H29" i="12"/>
  <c r="R41" i="12"/>
  <c r="T44" i="12"/>
  <c r="R45" i="12"/>
  <c r="T48" i="12"/>
  <c r="E26" i="12"/>
  <c r="E11" i="12"/>
  <c r="H16" i="12"/>
  <c r="S41" i="12"/>
  <c r="O43" i="12" a="1"/>
  <c r="O43" i="12" s="1"/>
  <c r="X43" i="12" s="1"/>
  <c r="S45" i="12"/>
  <c r="R42" i="12"/>
  <c r="R46" i="12"/>
  <c r="Q43" i="12"/>
  <c r="Q47" i="12"/>
  <c r="E15" i="11"/>
  <c r="H28" i="11"/>
  <c r="E31" i="11"/>
  <c r="O41" i="11" a="1"/>
  <c r="O41" i="11" s="1"/>
  <c r="S43" i="11"/>
  <c r="Q44" i="11"/>
  <c r="O45" i="11" a="1"/>
  <c r="O45" i="11" s="1"/>
  <c r="S47" i="11"/>
  <c r="Q48" i="11"/>
  <c r="E18" i="11"/>
  <c r="E26" i="11"/>
  <c r="H31" i="11"/>
  <c r="E34" i="11"/>
  <c r="T43" i="11"/>
  <c r="R44" i="11"/>
  <c r="T47" i="11"/>
  <c r="R48" i="11"/>
  <c r="Q45" i="11"/>
  <c r="R41" i="11"/>
  <c r="T44" i="11"/>
  <c r="R45" i="11"/>
  <c r="H26" i="11"/>
  <c r="H13" i="11"/>
  <c r="E16" i="11"/>
  <c r="E24" i="11"/>
  <c r="H29" i="11"/>
  <c r="H37" i="11"/>
  <c r="E19" i="11"/>
  <c r="E35" i="11"/>
  <c r="S41" i="11"/>
  <c r="Q42" i="11"/>
  <c r="O43" i="11" a="1"/>
  <c r="O43" i="11" s="1"/>
  <c r="Q46" i="11"/>
  <c r="O47" i="11" a="1"/>
  <c r="O47" i="11" s="1"/>
  <c r="H11" i="11"/>
  <c r="H19" i="11"/>
  <c r="E22" i="11"/>
  <c r="H27" i="11"/>
  <c r="R42" i="11"/>
  <c r="R46" i="11"/>
  <c r="H14" i="11"/>
  <c r="E17" i="11"/>
  <c r="E25" i="11"/>
  <c r="E33" i="11"/>
  <c r="Q43" i="11"/>
  <c r="H33" i="11"/>
  <c r="Q41" i="10"/>
  <c r="H13" i="10"/>
  <c r="E17" i="10"/>
  <c r="O41" i="10" a="1"/>
  <c r="O41" i="10" s="1"/>
  <c r="S43" i="10"/>
  <c r="Q44" i="10"/>
  <c r="O45" i="10" a="1"/>
  <c r="O45" i="10" s="1"/>
  <c r="S47" i="10"/>
  <c r="Q48" i="10"/>
  <c r="E11" i="10"/>
  <c r="E21" i="10"/>
  <c r="H29" i="10"/>
  <c r="E33" i="10"/>
  <c r="T43" i="10"/>
  <c r="R44" i="10"/>
  <c r="T47" i="10"/>
  <c r="R48" i="10"/>
  <c r="H37" i="10"/>
  <c r="R41" i="10"/>
  <c r="T44" i="10"/>
  <c r="R45" i="10"/>
  <c r="E23" i="10"/>
  <c r="O43" i="10" a="1"/>
  <c r="O43" i="10" s="1"/>
  <c r="S45" i="10"/>
  <c r="Q46" i="10"/>
  <c r="O47" i="10" a="1"/>
  <c r="O47" i="10" s="1"/>
  <c r="R42" i="10"/>
  <c r="R46" i="10"/>
  <c r="H27" i="10"/>
  <c r="E24" i="10"/>
  <c r="S43" i="9"/>
  <c r="Q48" i="9"/>
  <c r="E11" i="9"/>
  <c r="E21" i="9"/>
  <c r="H29" i="9"/>
  <c r="E33" i="9"/>
  <c r="T43" i="9"/>
  <c r="R44" i="9"/>
  <c r="T47" i="9"/>
  <c r="R48" i="9"/>
  <c r="E37" i="9"/>
  <c r="Q41" i="9"/>
  <c r="O42" i="9" a="1"/>
  <c r="O42" i="9" s="1"/>
  <c r="S44" i="9"/>
  <c r="Q45" i="9"/>
  <c r="O46" i="9" a="1"/>
  <c r="O46" i="9" s="1"/>
  <c r="S48" i="9"/>
  <c r="R41" i="9"/>
  <c r="T44" i="9"/>
  <c r="R45" i="9"/>
  <c r="H36" i="9"/>
  <c r="E23" i="9"/>
  <c r="H30" i="9"/>
  <c r="Q42" i="9"/>
  <c r="O47" i="9" a="1"/>
  <c r="O47" i="9" s="1"/>
  <c r="H23" i="9"/>
  <c r="H34" i="9"/>
  <c r="R42" i="9"/>
  <c r="R46" i="9"/>
  <c r="H16" i="9"/>
  <c r="Q43" i="9"/>
  <c r="O44" i="9" a="1"/>
  <c r="O44" i="9" s="1"/>
  <c r="S46" i="9"/>
  <c r="Q47" i="9"/>
  <c r="E13" i="9"/>
  <c r="Q48" i="8"/>
  <c r="E11" i="8"/>
  <c r="E21" i="8"/>
  <c r="H29" i="8"/>
  <c r="E33" i="8"/>
  <c r="T43" i="8"/>
  <c r="R44" i="8"/>
  <c r="T47" i="8"/>
  <c r="R48" i="8"/>
  <c r="E37" i="8"/>
  <c r="S44" i="8"/>
  <c r="S48" i="8"/>
  <c r="H37" i="8"/>
  <c r="R41" i="8"/>
  <c r="T44" i="8"/>
  <c r="R45" i="8"/>
  <c r="E23" i="8"/>
  <c r="H30" i="8"/>
  <c r="E34" i="8"/>
  <c r="S41" i="8"/>
  <c r="Q42" i="8"/>
  <c r="O43" i="8" a="1"/>
  <c r="O43" i="8" s="1"/>
  <c r="X46" i="8" s="1"/>
  <c r="S45" i="8"/>
  <c r="Q46" i="8"/>
  <c r="O47" i="8" a="1"/>
  <c r="O47" i="8" s="1"/>
  <c r="H34" i="8"/>
  <c r="R42" i="8"/>
  <c r="R46" i="8"/>
  <c r="Q44" i="8"/>
  <c r="H16" i="8"/>
  <c r="Q43" i="8"/>
  <c r="S46" i="8"/>
  <c r="Q47" i="8"/>
  <c r="E13" i="8"/>
  <c r="X48" i="7"/>
  <c r="Q48" i="7"/>
  <c r="E26" i="7"/>
  <c r="E34" i="7"/>
  <c r="T43" i="7"/>
  <c r="T47" i="7"/>
  <c r="R48" i="7"/>
  <c r="Q44" i="7"/>
  <c r="E13" i="7"/>
  <c r="H34" i="7"/>
  <c r="Q41" i="7"/>
  <c r="Q45" i="7"/>
  <c r="H13" i="7"/>
  <c r="E24" i="7"/>
  <c r="H29" i="7"/>
  <c r="H37" i="7"/>
  <c r="R41" i="7"/>
  <c r="T44" i="7"/>
  <c r="R45" i="7"/>
  <c r="T48" i="7"/>
  <c r="E11" i="7"/>
  <c r="H16" i="7"/>
  <c r="O43" i="7" a="1"/>
  <c r="O43" i="7" s="1"/>
  <c r="O47" i="7" a="1"/>
  <c r="O47" i="7" s="1"/>
  <c r="S44" i="7"/>
  <c r="H11" i="7"/>
  <c r="H19" i="7"/>
  <c r="E22" i="7"/>
  <c r="H27" i="7"/>
  <c r="R42" i="7"/>
  <c r="R46" i="7"/>
  <c r="H36" i="7"/>
  <c r="H18" i="7"/>
  <c r="E37" i="7"/>
  <c r="E17" i="7"/>
  <c r="E25" i="7"/>
  <c r="E33" i="7"/>
  <c r="H33" i="7"/>
  <c r="Q48" i="6"/>
  <c r="E11" i="6"/>
  <c r="E21" i="6"/>
  <c r="H29" i="6"/>
  <c r="E33" i="6"/>
  <c r="T43" i="6"/>
  <c r="R44" i="6"/>
  <c r="T47" i="6"/>
  <c r="R48" i="6"/>
  <c r="E37" i="6"/>
  <c r="Q41" i="6"/>
  <c r="O42" i="6" a="1"/>
  <c r="O42" i="6" s="1"/>
  <c r="S44" i="6"/>
  <c r="Q45" i="6"/>
  <c r="O46" i="6" a="1"/>
  <c r="O46" i="6" s="1"/>
  <c r="S48" i="6"/>
  <c r="R41" i="6"/>
  <c r="T44" i="6"/>
  <c r="R45" i="6"/>
  <c r="E23" i="6"/>
  <c r="H30" i="6"/>
  <c r="E34" i="6"/>
  <c r="O43" i="6" a="1"/>
  <c r="O43" i="6" s="1"/>
  <c r="Q46" i="6"/>
  <c r="O47" i="6" a="1"/>
  <c r="O47" i="6" s="1"/>
  <c r="Q44" i="6"/>
  <c r="H23" i="6"/>
  <c r="H34" i="6"/>
  <c r="R42" i="6"/>
  <c r="R46" i="6"/>
  <c r="H16" i="6"/>
  <c r="S42" i="6"/>
  <c r="Q43" i="6"/>
  <c r="S46" i="6"/>
  <c r="E13" i="6"/>
  <c r="Q48" i="5"/>
  <c r="E26" i="5"/>
  <c r="E34" i="5"/>
  <c r="T43" i="5"/>
  <c r="R44" i="5"/>
  <c r="T47" i="5"/>
  <c r="R48" i="5"/>
  <c r="Q44" i="5"/>
  <c r="E13" i="5"/>
  <c r="E21" i="5"/>
  <c r="Q41" i="5"/>
  <c r="H13" i="5"/>
  <c r="E24" i="5"/>
  <c r="H29" i="5"/>
  <c r="H37" i="5"/>
  <c r="R41" i="5"/>
  <c r="T44" i="5"/>
  <c r="R45" i="5"/>
  <c r="T48" i="5"/>
  <c r="H36" i="5"/>
  <c r="E11" i="5"/>
  <c r="H16" i="5"/>
  <c r="O43" i="5" a="1"/>
  <c r="O43" i="5" s="1"/>
  <c r="X43" i="5" s="1"/>
  <c r="S45" i="5"/>
  <c r="O47" i="5" a="1"/>
  <c r="O47" i="5" s="1"/>
  <c r="S44" i="5"/>
  <c r="H11" i="5"/>
  <c r="H19" i="5"/>
  <c r="E22" i="5"/>
  <c r="H27" i="5"/>
  <c r="R42" i="5"/>
  <c r="R46" i="5"/>
  <c r="E37" i="5"/>
  <c r="E17" i="5"/>
  <c r="E25" i="5"/>
  <c r="H30" i="5"/>
  <c r="E33" i="5"/>
  <c r="H33" i="5"/>
  <c r="X47" i="5" l="1"/>
  <c r="X47" i="16"/>
  <c r="X46" i="19"/>
  <c r="X47" i="22"/>
  <c r="X41" i="27"/>
  <c r="X44" i="5"/>
  <c r="X41" i="11"/>
  <c r="X45" i="12"/>
  <c r="X42" i="29"/>
  <c r="X42" i="6"/>
  <c r="X42" i="18"/>
  <c r="X43" i="22"/>
  <c r="X43" i="13"/>
  <c r="X47" i="30"/>
  <c r="X45" i="5"/>
  <c r="X42" i="9"/>
  <c r="X41" i="14"/>
  <c r="X47" i="18"/>
  <c r="X47" i="25"/>
  <c r="X47" i="28"/>
  <c r="X43" i="7"/>
  <c r="X47" i="8"/>
  <c r="X47" i="10"/>
  <c r="X47" i="17"/>
  <c r="X43" i="18"/>
  <c r="X41" i="22"/>
  <c r="X46" i="27"/>
  <c r="X43" i="16"/>
  <c r="X42" i="15"/>
  <c r="X47" i="19"/>
  <c r="X42" i="30"/>
  <c r="X43" i="30"/>
  <c r="X41" i="30"/>
  <c r="X46" i="30"/>
  <c r="X45" i="30"/>
  <c r="X44" i="30"/>
  <c r="X41" i="29"/>
  <c r="X46" i="29"/>
  <c r="X45" i="29"/>
  <c r="X44" i="29"/>
  <c r="X43" i="29"/>
  <c r="X41" i="28"/>
  <c r="X43" i="28"/>
  <c r="X46" i="28"/>
  <c r="X44" i="28"/>
  <c r="X45" i="28"/>
  <c r="X42" i="28"/>
  <c r="X47" i="27"/>
  <c r="X43" i="27"/>
  <c r="X42" i="27"/>
  <c r="X45" i="27"/>
  <c r="X44" i="27"/>
  <c r="X42" i="26"/>
  <c r="X41" i="26"/>
  <c r="X46" i="26"/>
  <c r="X47" i="26"/>
  <c r="X45" i="26"/>
  <c r="X44" i="26"/>
  <c r="X43" i="25"/>
  <c r="X46" i="25"/>
  <c r="X45" i="25"/>
  <c r="X41" i="25"/>
  <c r="X42" i="25"/>
  <c r="X46" i="22"/>
  <c r="X45" i="22"/>
  <c r="X44" i="22"/>
  <c r="X42" i="22"/>
  <c r="X43" i="21"/>
  <c r="X46" i="21"/>
  <c r="X41" i="21"/>
  <c r="X45" i="21"/>
  <c r="X47" i="21"/>
  <c r="X44" i="21"/>
  <c r="X43" i="20"/>
  <c r="X42" i="20"/>
  <c r="X46" i="20"/>
  <c r="X41" i="20"/>
  <c r="X45" i="20"/>
  <c r="X44" i="20"/>
  <c r="X43" i="19"/>
  <c r="X42" i="19"/>
  <c r="X41" i="19"/>
  <c r="X45" i="19"/>
  <c r="X44" i="19"/>
  <c r="X41" i="18"/>
  <c r="X46" i="18"/>
  <c r="X45" i="18"/>
  <c r="X44" i="18"/>
  <c r="X41" i="17"/>
  <c r="X46" i="17"/>
  <c r="X44" i="17"/>
  <c r="X43" i="17"/>
  <c r="X45" i="17"/>
  <c r="X42" i="17"/>
  <c r="X42" i="16"/>
  <c r="X41" i="16"/>
  <c r="X45" i="16"/>
  <c r="X46" i="16"/>
  <c r="X44" i="16"/>
  <c r="X41" i="15"/>
  <c r="X43" i="15"/>
  <c r="X45" i="15"/>
  <c r="X46" i="15"/>
  <c r="X44" i="15"/>
  <c r="X42" i="14"/>
  <c r="X48" i="14"/>
  <c r="X45" i="14"/>
  <c r="X46" i="14"/>
  <c r="X47" i="14"/>
  <c r="X43" i="14"/>
  <c r="X44" i="14"/>
  <c r="X41" i="13"/>
  <c r="X42" i="13"/>
  <c r="X44" i="13"/>
  <c r="X48" i="13"/>
  <c r="X47" i="13"/>
  <c r="X45" i="13"/>
  <c r="X46" i="13"/>
  <c r="X48" i="12"/>
  <c r="X46" i="12"/>
  <c r="X41" i="12"/>
  <c r="X47" i="12"/>
  <c r="X42" i="12"/>
  <c r="X44" i="12"/>
  <c r="X47" i="11"/>
  <c r="X43" i="11"/>
  <c r="X44" i="11"/>
  <c r="X45" i="11"/>
  <c r="X48" i="11"/>
  <c r="X46" i="11"/>
  <c r="X42" i="11"/>
  <c r="X41" i="10"/>
  <c r="X46" i="10"/>
  <c r="X43" i="10"/>
  <c r="X45" i="10"/>
  <c r="X44" i="10"/>
  <c r="X42" i="10"/>
  <c r="X47" i="9"/>
  <c r="X44" i="9"/>
  <c r="X46" i="9"/>
  <c r="X41" i="9"/>
  <c r="X43" i="9"/>
  <c r="X45" i="9"/>
  <c r="X41" i="8"/>
  <c r="X43" i="8"/>
  <c r="X45" i="8"/>
  <c r="X44" i="8"/>
  <c r="X42" i="8"/>
  <c r="X47" i="7"/>
  <c r="X41" i="7"/>
  <c r="X46" i="7"/>
  <c r="X44" i="7"/>
  <c r="X45" i="7"/>
  <c r="X42" i="7"/>
  <c r="X47" i="6"/>
  <c r="X41" i="6"/>
  <c r="X43" i="6"/>
  <c r="X46" i="6"/>
  <c r="X45" i="6"/>
  <c r="X44" i="6"/>
  <c r="X48" i="5"/>
  <c r="X41" i="5"/>
  <c r="X46" i="5"/>
  <c r="X4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<sst xmlns="http://schemas.openxmlformats.org/spreadsheetml/2006/main" count="3360" uniqueCount="371">
  <si>
    <t>Groep 3/4</t>
  </si>
  <si>
    <t>Poule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</si>
  <si>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</si>
  <si>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</si>
  <si>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</si>
  <si>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</si>
  <si>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</si>
  <si>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</si>
  <si>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</si>
  <si>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</si>
  <si>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</si>
  <si>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Veld</t>
  </si>
  <si>
    <t>Meisjes</t>
  </si>
  <si>
    <t>Gemengd</t>
  </si>
  <si>
    <t>Jongens</t>
  </si>
  <si>
    <t>Teams</t>
  </si>
  <si>
    <t>Maan M1</t>
  </si>
  <si>
    <t>Eglantier-B M1</t>
  </si>
  <si>
    <t>Freinet G1</t>
  </si>
  <si>
    <t>Park G1</t>
  </si>
  <si>
    <t>Vermeer G1</t>
  </si>
  <si>
    <t>Max G1</t>
  </si>
  <si>
    <t>Maria J1</t>
  </si>
  <si>
    <t>Rembrandt J1</t>
  </si>
  <si>
    <t>Eglantier-B J1</t>
  </si>
  <si>
    <t>Regenboog J1</t>
  </si>
  <si>
    <t>Galjoen M1</t>
  </si>
  <si>
    <t>Maan M4</t>
  </si>
  <si>
    <t>Gabriël G1</t>
  </si>
  <si>
    <t>Freinet G2</t>
  </si>
  <si>
    <t>Schatkaart G2</t>
  </si>
  <si>
    <t>Oostpoort G1</t>
  </si>
  <si>
    <t>Max J1</t>
  </si>
  <si>
    <t>Maria J2</t>
  </si>
  <si>
    <t>Maan J1</t>
  </si>
  <si>
    <t>Freinet J1</t>
  </si>
  <si>
    <t>Maria M1</t>
  </si>
  <si>
    <t>Maurits M2</t>
  </si>
  <si>
    <t>Mozaïek G1</t>
  </si>
  <si>
    <t>Gabriël G2</t>
  </si>
  <si>
    <t>Freinet G3</t>
  </si>
  <si>
    <t>M Delft G2</t>
  </si>
  <si>
    <t>Mozaïek J1</t>
  </si>
  <si>
    <t>Max J2</t>
  </si>
  <si>
    <t>Maria J3</t>
  </si>
  <si>
    <t>Gabriël J1</t>
  </si>
  <si>
    <t>Freinet J2</t>
  </si>
  <si>
    <t>Maan M2</t>
  </si>
  <si>
    <t>BMS M2</t>
  </si>
  <si>
    <t>Maria G1</t>
  </si>
  <si>
    <t>Mozaïek G2</t>
  </si>
  <si>
    <t>Gabriël G3</t>
  </si>
  <si>
    <t>Maan G3</t>
  </si>
  <si>
    <t>BMS J1</t>
  </si>
  <si>
    <t>DSV J1</t>
  </si>
  <si>
    <t>Max J3</t>
  </si>
  <si>
    <t>Talent J1</t>
  </si>
  <si>
    <t>Gabriël J2</t>
  </si>
  <si>
    <t>Maurits M1</t>
  </si>
  <si>
    <t>Maan M5</t>
  </si>
  <si>
    <t>Maan G1</t>
  </si>
  <si>
    <t>Maria G2</t>
  </si>
  <si>
    <t>Mozaïek G3</t>
  </si>
  <si>
    <t>Horizon G1</t>
  </si>
  <si>
    <t>Mozaïek J2</t>
  </si>
  <si>
    <t>Talent J2</t>
  </si>
  <si>
    <t>Maan M3</t>
  </si>
  <si>
    <t>Maria M2</t>
  </si>
  <si>
    <t>M Delft G1</t>
  </si>
  <si>
    <t>Maan G2</t>
  </si>
  <si>
    <t>Maria G3</t>
  </si>
  <si>
    <t>Regenboog G1</t>
  </si>
  <si>
    <t>Tuin J1</t>
  </si>
  <si>
    <t>Vermeer J1</t>
  </si>
  <si>
    <t>BMS J2</t>
  </si>
  <si>
    <t>Maan J2</t>
  </si>
  <si>
    <t>Cornelis M1</t>
  </si>
  <si>
    <t>Widar M1</t>
  </si>
  <si>
    <t>Schatkaart G1</t>
  </si>
  <si>
    <t>Waterhof G1</t>
  </si>
  <si>
    <t>Widar G1</t>
  </si>
  <si>
    <t>Cornelis G2</t>
  </si>
  <si>
    <t>Maurits J1</t>
  </si>
  <si>
    <t>Springwijs J1</t>
  </si>
  <si>
    <t>Waterhof J1</t>
  </si>
  <si>
    <t>BMS M1</t>
  </si>
  <si>
    <t>Cornelis G1</t>
  </si>
  <si>
    <t>Widar J1</t>
  </si>
  <si>
    <t>Tuin J2</t>
  </si>
  <si>
    <t>J</t>
  </si>
  <si>
    <t>K</t>
  </si>
  <si>
    <t>L</t>
  </si>
  <si>
    <t>M</t>
  </si>
  <si>
    <t>N</t>
  </si>
  <si>
    <t>O</t>
  </si>
  <si>
    <t>P</t>
  </si>
  <si>
    <t>Q</t>
  </si>
  <si>
    <t>R</t>
  </si>
  <si>
    <t>Galjoen J1</t>
  </si>
  <si>
    <t>Bonte Pael J1</t>
  </si>
  <si>
    <t>Max J6</t>
  </si>
  <si>
    <t>Eglantier-V J2</t>
  </si>
  <si>
    <t>Maria J8</t>
  </si>
  <si>
    <t>Oostpoort J1</t>
  </si>
  <si>
    <t>DSV J2</t>
  </si>
  <si>
    <t>Springwijs J2</t>
  </si>
  <si>
    <t>Max J7</t>
  </si>
  <si>
    <t>Maria J9</t>
  </si>
  <si>
    <t>Maria J10</t>
  </si>
  <si>
    <t>Talent J6</t>
  </si>
  <si>
    <t>Mozaïek J3</t>
  </si>
  <si>
    <t>Maurits J2</t>
  </si>
  <si>
    <t>Tuin J3</t>
  </si>
  <si>
    <t>Vermeer J2</t>
  </si>
  <si>
    <t>Max J8</t>
  </si>
  <si>
    <t>Springwijs J3</t>
  </si>
  <si>
    <t>M Delft J2</t>
  </si>
  <si>
    <t>Freinet J7</t>
  </si>
  <si>
    <t>Maria J4</t>
  </si>
  <si>
    <t>BMS J3</t>
  </si>
  <si>
    <t>Talent J3</t>
  </si>
  <si>
    <t>Freinet J3</t>
  </si>
  <si>
    <t>Gabriël J3</t>
  </si>
  <si>
    <t>Vermeer J3</t>
  </si>
  <si>
    <t>Mgr. Bekkers J2</t>
  </si>
  <si>
    <t>Laurentius J1</t>
  </si>
  <si>
    <t>Max J4</t>
  </si>
  <si>
    <t>Maria J5</t>
  </si>
  <si>
    <t>Mozaïek J4</t>
  </si>
  <si>
    <t>DSV J3</t>
  </si>
  <si>
    <t>Maurits J3</t>
  </si>
  <si>
    <t>Rembrandt J2</t>
  </si>
  <si>
    <t>Gabriël J6</t>
  </si>
  <si>
    <t>Max J5</t>
  </si>
  <si>
    <t>Maria J6</t>
  </si>
  <si>
    <t>BMS J4</t>
  </si>
  <si>
    <t>Mozaïek J5</t>
  </si>
  <si>
    <t>Eglantier-B J2</t>
  </si>
  <si>
    <t>Bonte Pael J2</t>
  </si>
  <si>
    <t>Eglantier-V J1</t>
  </si>
  <si>
    <t>Widar J2</t>
  </si>
  <si>
    <t>Maria J7</t>
  </si>
  <si>
    <t>Widar J3</t>
  </si>
  <si>
    <t>Galjoen J2</t>
  </si>
  <si>
    <t>Schatkaart J2</t>
  </si>
  <si>
    <t>Cornelis J1</t>
  </si>
  <si>
    <t>S</t>
  </si>
  <si>
    <t>T</t>
  </si>
  <si>
    <t>U</t>
  </si>
  <si>
    <t>V</t>
  </si>
  <si>
    <t>W</t>
  </si>
  <si>
    <t>X</t>
  </si>
  <si>
    <t>Y</t>
  </si>
  <si>
    <t>Z</t>
  </si>
  <si>
    <t>gemengd</t>
  </si>
  <si>
    <t>meisjes</t>
  </si>
  <si>
    <t>jongens</t>
  </si>
  <si>
    <t>nr.</t>
  </si>
  <si>
    <t>School</t>
  </si>
  <si>
    <t>Afkorting</t>
  </si>
  <si>
    <t>Totaal</t>
  </si>
  <si>
    <t>G1</t>
  </si>
  <si>
    <t>G2</t>
  </si>
  <si>
    <t>G3</t>
  </si>
  <si>
    <t>G4</t>
  </si>
  <si>
    <t>G5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</si>
  <si>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</si>
  <si>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</si>
  <si>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</si>
  <si>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</si>
  <si>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</si>
  <si>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</si>
  <si>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</si>
  <si>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</si>
  <si>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</si>
  <si>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</si>
  <si>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</si>
  <si>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</si>
  <si>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</si>
  <si>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</si>
  <si>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</si>
  <si>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</si>
  <si>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</si>
  <si>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</si>
  <si>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</si>
  <si>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</si>
  <si>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</si>
  <si>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</si>
  <si>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</si>
  <si>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</si>
  <si>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</si>
  <si>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</si>
  <si>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</si>
  <si>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</si>
  <si>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</si>
  <si>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</si>
  <si>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</si>
  <si>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</si>
  <si>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</si>
  <si>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</si>
  <si>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</si>
  <si>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</si>
  <si>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</si>
  <si>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</si>
  <si>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</si>
  <si>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</si>
  <si>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</si>
  <si>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</si>
  <si>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</si>
  <si>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</si>
  <si>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</si>
  <si>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</si>
  <si>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</si>
  <si>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</si>
  <si>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</si>
  <si>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</si>
  <si>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</si>
  <si>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</si>
  <si>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</si>
  <si>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</si>
  <si>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</si>
  <si>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</si>
  <si>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</si>
  <si>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</si>
  <si>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</si>
  <si>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</si>
  <si>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</si>
  <si>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Mgr. Bekkers</t>
  </si>
  <si>
    <t>Montessori Delft</t>
  </si>
  <si>
    <t>M Delft</t>
  </si>
  <si>
    <t>OBS Het Galjoen</t>
  </si>
  <si>
    <t>Galjoen</t>
  </si>
  <si>
    <t>Parkschool</t>
  </si>
  <si>
    <t>Park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</si>
  <si>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</si>
  <si>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</si>
  <si>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</si>
  <si>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</si>
  <si>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</si>
  <si>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</si>
  <si>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</si>
  <si>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</si>
  <si>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</si>
  <si>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IBS De Nieuwe Maan</t>
  </si>
  <si>
    <t>Maan</t>
  </si>
  <si>
    <t>Totaal scores</t>
  </si>
  <si>
    <t>Aantal Teams</t>
  </si>
  <si>
    <t>Gemiddelde</t>
  </si>
  <si>
    <t>Groep 7/8</t>
  </si>
  <si>
    <t>Groep 5/6</t>
  </si>
  <si>
    <t>IBS de Nieuwe Maan</t>
  </si>
  <si>
    <t>Scheidsrechter</t>
  </si>
  <si>
    <t>Ruud van Oosten</t>
  </si>
  <si>
    <t>Guus Heemskerk</t>
  </si>
  <si>
    <t>Marcel de Letter</t>
  </si>
  <si>
    <t>Gerard Zoet</t>
  </si>
  <si>
    <t>Louis vd Weijde</t>
  </si>
  <si>
    <t>Marcel den Os</t>
  </si>
  <si>
    <t>Chris van Noordwijk</t>
  </si>
  <si>
    <t>Dik vd Mast</t>
  </si>
  <si>
    <t>Dion Dingler</t>
  </si>
  <si>
    <t>Henk Priem</t>
  </si>
  <si>
    <t>Leo Boer</t>
  </si>
  <si>
    <t>Lars v Gassel</t>
  </si>
  <si>
    <t>Theo Dessens</t>
  </si>
  <si>
    <t>Ton Haanappel</t>
  </si>
  <si>
    <t>Ruud Bakas</t>
  </si>
  <si>
    <t>Gennaro vd Kan</t>
  </si>
  <si>
    <t>Rob Staakman</t>
  </si>
  <si>
    <t>Jack Altena</t>
  </si>
  <si>
    <t>Rien Beenen</t>
  </si>
  <si>
    <t>Anita Schouten</t>
  </si>
  <si>
    <t>Diana Schouten</t>
  </si>
  <si>
    <t>Frank Maat</t>
  </si>
  <si>
    <t>Patrick vd Helm</t>
  </si>
  <si>
    <t>Quinten Kube</t>
  </si>
  <si>
    <t>Martin van Blitterswijk</t>
  </si>
  <si>
    <t>Andrew Kube</t>
  </si>
  <si>
    <t>John Kortekaas</t>
  </si>
  <si>
    <t>Robert vd Bosch</t>
  </si>
  <si>
    <t>Bas Kers</t>
  </si>
  <si>
    <t>Iris Klein Bog</t>
  </si>
  <si>
    <t>Voetbalvereniging S.E.P.</t>
  </si>
  <si>
    <t>Check de poulestand online!</t>
  </si>
  <si>
    <t>Sportpark Tanthof-zuid</t>
  </si>
  <si>
    <t>Henk van Riessenlaan 2</t>
  </si>
  <si>
    <t>2626 AB Delft</t>
  </si>
  <si>
    <t>Telefoon 015-2613697 (kantine) / 015-2613761 (bestuurskamer)</t>
  </si>
  <si>
    <t>6 minuten per wedstrijd</t>
  </si>
  <si>
    <t>Nr.</t>
  </si>
  <si>
    <t>Aanvang</t>
  </si>
  <si>
    <t>Wedstrijd</t>
  </si>
  <si>
    <t>Uitslag</t>
  </si>
  <si>
    <t>Sportiviteit</t>
  </si>
  <si>
    <t>-</t>
  </si>
  <si>
    <t>Team</t>
  </si>
  <si>
    <t>Wedstr. 1</t>
  </si>
  <si>
    <t>Wedstr. 2</t>
  </si>
  <si>
    <t>Wedstr. 3</t>
  </si>
  <si>
    <t>Wedstr. 4</t>
  </si>
  <si>
    <t>Wedstr. 5</t>
  </si>
  <si>
    <t>Wedstr. 6</t>
  </si>
  <si>
    <t>Wedstr. 7</t>
  </si>
  <si>
    <t>DPV</t>
  </si>
  <si>
    <t>DPT</t>
  </si>
  <si>
    <t>Plaats</t>
  </si>
  <si>
    <t>Finale ronden</t>
  </si>
  <si>
    <t>Achtste finales</t>
  </si>
  <si>
    <t>17:15</t>
  </si>
  <si>
    <t>17:21</t>
  </si>
  <si>
    <t>1e Poule A</t>
  </si>
  <si>
    <t>1e Poule B</t>
  </si>
  <si>
    <t>1e Poule C</t>
  </si>
  <si>
    <t>1e Poule D</t>
  </si>
  <si>
    <t>1e Poule E</t>
  </si>
  <si>
    <t>1e Poule F</t>
  </si>
  <si>
    <t>1e Poule G</t>
  </si>
  <si>
    <t>1e Poule H</t>
  </si>
  <si>
    <t>1e Poule I</t>
  </si>
  <si>
    <t>1e Poule J</t>
  </si>
  <si>
    <t>1e Poule K</t>
  </si>
  <si>
    <t>1e Poule L</t>
  </si>
  <si>
    <t>1e Poule M</t>
  </si>
  <si>
    <t>1e Poule N</t>
  </si>
  <si>
    <t>Lars van Gassel</t>
  </si>
  <si>
    <t>1e Poule O</t>
  </si>
  <si>
    <t>1e nr. 2</t>
  </si>
  <si>
    <t>Kwartfinales</t>
  </si>
  <si>
    <t>17:30</t>
  </si>
  <si>
    <t>17:36</t>
  </si>
  <si>
    <t>`</t>
  </si>
  <si>
    <t>Halvefinales</t>
  </si>
  <si>
    <t>17:45</t>
  </si>
  <si>
    <t>17:51</t>
  </si>
  <si>
    <t>Finale</t>
  </si>
  <si>
    <t>en</t>
  </si>
  <si>
    <t>kleine finale</t>
  </si>
  <si>
    <t>17:56</t>
  </si>
  <si>
    <t>18:02</t>
  </si>
  <si>
    <t>1e plaats meisjes 4 tegen 4 toernooi:</t>
  </si>
  <si>
    <t>1e plaats gemengd 4 tegen 4 toernooi:</t>
  </si>
  <si>
    <t>2e plaats meisjes 4 tegen 4 toernooi:</t>
  </si>
  <si>
    <t>2e plaats gemengd 4 tegen 4 toernooi:</t>
  </si>
  <si>
    <t>3e plaats meisjes 4 tegen 4 toernooi:</t>
  </si>
  <si>
    <t>3e plaats gemengd 4 tegen 4 toernooi:</t>
  </si>
  <si>
    <t>1e plaats jongens 4 tegen 4 toernooi:</t>
  </si>
  <si>
    <t>2e plaats jongens 4 tegen 4 toernooi:</t>
  </si>
  <si>
    <t>3e plaats jongens 4 tegen 4 toernooi:</t>
  </si>
  <si>
    <t>Eerste finaleronde</t>
  </si>
  <si>
    <t>Talent M2</t>
  </si>
  <si>
    <t>Maria M4</t>
  </si>
  <si>
    <t>Vermeer M1</t>
  </si>
  <si>
    <t>Talent M1</t>
  </si>
  <si>
    <t>Maria M3</t>
  </si>
  <si>
    <t>Horizon G5</t>
  </si>
  <si>
    <t>Springwijs G1</t>
  </si>
  <si>
    <t>Michael Koster</t>
  </si>
  <si>
    <t>Stefan Sturtz</t>
  </si>
  <si>
    <t>Gabriël J5</t>
  </si>
  <si>
    <t>Dennis vd Geest</t>
  </si>
  <si>
    <t>Springwijs G2</t>
  </si>
  <si>
    <t>Barry Smits</t>
  </si>
  <si>
    <t>Martijn Noordhuizen</t>
  </si>
  <si>
    <t>Talent J4</t>
  </si>
  <si>
    <t>Marco de Kok</t>
  </si>
  <si>
    <t>Remco vd Weijde</t>
  </si>
  <si>
    <t>Kwart finales</t>
  </si>
  <si>
    <t>Frank van Dam</t>
  </si>
  <si>
    <t>Halve finales</t>
  </si>
  <si>
    <t>Kleine finale</t>
  </si>
  <si>
    <t>Algemeen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</si>
</sst>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m\ yyyy"/>
  </numFmts>
  <fonts count="38" x14ac:knownFonts="1">
    <font>
      <sz val="10"/>
      <name val="Arial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trike/>
      <sz val="10"/>
      <name val="Arial Narrow"/>
      <family val="2"/>
    </font>
    <font>
      <sz val="10"/>
      <color rgb="FFFF0000"/>
      <name val="Arial Narrow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rgb="FF434343"/>
      <name val="Arial"/>
    </font>
    <font>
      <sz val="10"/>
      <color rgb="FF000000"/>
      <name val="Arial"/>
    </font>
    <font>
      <sz val="10"/>
      <color rgb="FF434343"/>
      <name val="Arial"/>
      <family val="2"/>
    </font>
    <font>
      <sz val="9"/>
      <color rgb="FF000000"/>
      <name val="Arial"/>
    </font>
    <font>
      <sz val="10"/>
      <color rgb="FFB7B7B7"/>
      <name val="Arial"/>
    </font>
    <font>
      <b/>
      <sz val="14"/>
      <name val="Arial Narrow"/>
      <family val="2"/>
    </font>
    <font>
      <sz val="14"/>
      <name val="Arial Narrow"/>
      <family val="2"/>
    </font>
    <font>
      <b/>
      <sz val="11"/>
      <name val="Arial Narrow"/>
      <family val="2"/>
    </font>
    <font>
      <sz val="11"/>
      <name val="Arial Narrow"/>
      <family val="2"/>
    </font>
    <font>
      <sz val="11"/>
      <color rgb="FF0000FF"/>
      <name val="Arial Narrow"/>
      <family val="2"/>
    </font>
    <font>
      <sz val="11"/>
      <color indexed="12"/>
      <name val="Arial Narrow"/>
      <family val="2"/>
    </font>
    <font>
      <b/>
      <sz val="16"/>
      <name val="Arial Narrow"/>
      <family val="2"/>
    </font>
    <font>
      <sz val="16"/>
      <name val="Arial Narrow"/>
      <family val="2"/>
    </font>
    <font>
      <b/>
      <i/>
      <sz val="12"/>
      <name val="Arial Narrow"/>
      <family val="2"/>
    </font>
    <font>
      <b/>
      <sz val="11"/>
      <name val="Arial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0"/>
      <color rgb="FF7030A0"/>
      <name val="Arial Narrow"/>
      <family val="2"/>
    </font>
    <font>
      <b/>
      <i/>
      <sz val="14"/>
      <name val="Arial Narrow"/>
      <family val="2"/>
    </font>
    <font>
      <sz val="10"/>
      <color indexed="8"/>
      <name val="Arial Narrow"/>
      <family val="2"/>
    </font>
    <font>
      <sz val="12"/>
      <color rgb="FFFF0000"/>
      <name val="Arial Narrow"/>
      <family val="2"/>
    </font>
    <font>
      <sz val="10"/>
      <color indexed="22"/>
      <name val="Arial Narrow"/>
      <family val="2"/>
    </font>
    <font>
      <b/>
      <sz val="12"/>
      <color indexed="8"/>
      <name val="Arial Narrow"/>
      <family val="2"/>
    </font>
    <font>
      <sz val="10"/>
      <color rgb="FF00B050"/>
      <name val="Arial Narrow"/>
      <family val="2"/>
    </font>
    <font>
      <b/>
      <sz val="16"/>
      <color indexed="8"/>
      <name val="Arial Narrow"/>
      <family val="2"/>
    </font>
    <font>
      <sz val="16"/>
      <color indexed="8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46">
    <xf numFmtId="0" fontId="0" fillId="0" borderId="0" xfId="0"/>
    <xf numFmtId="0" fontId="1" fillId="2" borderId="0" xfId="0" applyFont="1" applyFill="1"/>
    <xf numFmtId="0" fontId="2" fillId="2" borderId="0" xfId="0" applyFont="1" applyFill="1"/>
    <xf numFmtId="164" fontId="1" fillId="2" borderId="0" xfId="0" applyNumberFormat="1" applyFont="1" applyFill="1" applyAlignment="1">
      <alignment horizontal="center"/>
    </xf>
    <xf numFmtId="0" fontId="3" fillId="0" borderId="0" xfId="0" applyFont="1"/>
    <xf numFmtId="0" fontId="4" fillId="0" borderId="0" xfId="0" applyFont="1"/>
    <xf numFmtId="164" fontId="4" fillId="0" borderId="0" xfId="0" applyNumberFormat="1" applyFont="1" applyAlignment="1">
      <alignment horizontal="center"/>
    </xf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left"/>
    </xf>
    <xf numFmtId="0" fontId="5" fillId="2" borderId="5" xfId="0" applyFont="1" applyFill="1" applyBorder="1"/>
    <xf numFmtId="0" fontId="3" fillId="2" borderId="6" xfId="0" applyFont="1" applyFill="1" applyBorder="1"/>
    <xf numFmtId="0" fontId="3" fillId="0" borderId="7" xfId="0" applyFont="1" applyBorder="1"/>
    <xf numFmtId="0" fontId="3" fillId="0" borderId="8" xfId="0" applyFont="1" applyBorder="1"/>
    <xf numFmtId="0" fontId="5" fillId="2" borderId="3" xfId="0" applyFont="1" applyFill="1" applyBorder="1"/>
    <xf numFmtId="0" fontId="3" fillId="2" borderId="4" xfId="0" applyFont="1" applyFill="1" applyBorder="1"/>
    <xf numFmtId="0" fontId="3" fillId="0" borderId="9" xfId="0" applyFont="1" applyBorder="1"/>
    <xf numFmtId="0" fontId="3" fillId="2" borderId="0" xfId="0" applyFont="1" applyFill="1"/>
    <xf numFmtId="0" fontId="5" fillId="2" borderId="1" xfId="0" applyFont="1" applyFill="1" applyBorder="1"/>
    <xf numFmtId="0" fontId="3" fillId="2" borderId="2" xfId="0" applyFont="1" applyFill="1" applyBorder="1"/>
    <xf numFmtId="0" fontId="5" fillId="0" borderId="0" xfId="0" applyFont="1"/>
    <xf numFmtId="0" fontId="3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2" fontId="7" fillId="0" borderId="0" xfId="0" applyNumberFormat="1" applyFont="1"/>
    <xf numFmtId="0" fontId="8" fillId="0" borderId="0" xfId="0" applyFont="1"/>
    <xf numFmtId="0" fontId="9" fillId="0" borderId="0" xfId="0" applyFont="1"/>
    <xf numFmtId="0" fontId="10" fillId="3" borderId="10" xfId="0" applyFont="1" applyFill="1" applyBorder="1"/>
    <xf numFmtId="0" fontId="10" fillId="3" borderId="11" xfId="0" applyFont="1" applyFill="1" applyBorder="1" applyAlignment="1">
      <alignment wrapText="1"/>
    </xf>
    <xf numFmtId="0" fontId="10" fillId="3" borderId="11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9" fillId="3" borderId="0" xfId="0" applyFont="1" applyFill="1"/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12" fillId="4" borderId="15" xfId="0" applyFont="1" applyFill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vertical="center" wrapText="1"/>
    </xf>
    <xf numFmtId="0" fontId="12" fillId="6" borderId="15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0" fillId="5" borderId="0" xfId="0" applyFill="1"/>
    <xf numFmtId="0" fontId="13" fillId="0" borderId="15" xfId="0" applyFont="1" applyBorder="1" applyAlignment="1">
      <alignment vertical="center" wrapText="1"/>
    </xf>
    <xf numFmtId="0" fontId="14" fillId="0" borderId="15" xfId="0" applyFont="1" applyBorder="1" applyAlignment="1">
      <alignment horizontal="left" wrapText="1"/>
    </xf>
    <xf numFmtId="0" fontId="12" fillId="4" borderId="15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5" borderId="15" xfId="0" applyFont="1" applyFill="1" applyBorder="1" applyAlignment="1">
      <alignment vertical="center" wrapText="1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vertical="center" wrapText="1"/>
    </xf>
    <xf numFmtId="0" fontId="11" fillId="4" borderId="18" xfId="0" applyFont="1" applyFill="1" applyBorder="1" applyAlignment="1">
      <alignment horizontal="center" vertical="center"/>
    </xf>
    <xf numFmtId="0" fontId="11" fillId="5" borderId="16" xfId="0" applyFont="1" applyFill="1" applyBorder="1" applyAlignment="1">
      <alignment horizontal="center" vertical="center"/>
    </xf>
    <xf numFmtId="0" fontId="13" fillId="5" borderId="17" xfId="0" applyFont="1" applyFill="1" applyBorder="1" applyAlignment="1">
      <alignment vertical="center" wrapText="1"/>
    </xf>
    <xf numFmtId="0" fontId="13" fillId="5" borderId="19" xfId="0" applyFont="1" applyFill="1" applyBorder="1" applyAlignment="1">
      <alignment vertical="center" wrapText="1"/>
    </xf>
    <xf numFmtId="0" fontId="11" fillId="6" borderId="17" xfId="0" applyFont="1" applyFill="1" applyBorder="1" applyAlignment="1">
      <alignment horizontal="center" vertical="center"/>
    </xf>
    <xf numFmtId="0" fontId="11" fillId="6" borderId="20" xfId="0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9" fillId="3" borderId="13" xfId="0" applyFont="1" applyFill="1" applyBorder="1"/>
    <xf numFmtId="0" fontId="0" fillId="0" borderId="13" xfId="0" applyBorder="1"/>
    <xf numFmtId="0" fontId="11" fillId="5" borderId="17" xfId="0" applyFont="1" applyFill="1" applyBorder="1" applyAlignment="1">
      <alignment vertical="center" wrapText="1"/>
    </xf>
    <xf numFmtId="0" fontId="11" fillId="0" borderId="13" xfId="0" applyFont="1" applyBorder="1" applyAlignment="1">
      <alignment vertical="center" wrapText="1"/>
    </xf>
    <xf numFmtId="0" fontId="16" fillId="0" borderId="0" xfId="0" applyFont="1"/>
    <xf numFmtId="0" fontId="17" fillId="0" borderId="0" xfId="0" applyFont="1"/>
    <xf numFmtId="164" fontId="16" fillId="0" borderId="0" xfId="0" applyNumberFormat="1" applyFont="1" applyAlignment="1">
      <alignment horizontal="left"/>
    </xf>
    <xf numFmtId="164" fontId="18" fillId="0" borderId="0" xfId="0" applyNumberFormat="1" applyFont="1" applyAlignment="1">
      <alignment horizontal="left"/>
    </xf>
    <xf numFmtId="0" fontId="19" fillId="0" borderId="0" xfId="0" applyFont="1"/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20" fillId="2" borderId="0" xfId="0" applyFont="1" applyFill="1"/>
    <xf numFmtId="0" fontId="21" fillId="0" borderId="0" xfId="0" applyFont="1"/>
    <xf numFmtId="0" fontId="19" fillId="0" borderId="0" xfId="0" applyFont="1" applyAlignment="1">
      <alignment horizontal="left"/>
    </xf>
    <xf numFmtId="0" fontId="21" fillId="2" borderId="0" xfId="0" applyFont="1" applyFill="1"/>
    <xf numFmtId="0" fontId="20" fillId="2" borderId="0" xfId="0" applyFont="1" applyFill="1" applyAlignment="1">
      <alignment horizontal="left"/>
    </xf>
    <xf numFmtId="0" fontId="19" fillId="2" borderId="0" xfId="0" applyFont="1" applyFill="1"/>
    <xf numFmtId="0" fontId="22" fillId="0" borderId="0" xfId="0" applyFont="1"/>
    <xf numFmtId="0" fontId="19" fillId="0" borderId="21" xfId="0" applyFont="1" applyBorder="1"/>
    <xf numFmtId="0" fontId="3" fillId="0" borderId="21" xfId="0" applyFont="1" applyBorder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/>
    <xf numFmtId="0" fontId="23" fillId="0" borderId="9" xfId="0" applyFont="1" applyBorder="1" applyAlignment="1">
      <alignment vertical="center"/>
    </xf>
    <xf numFmtId="0" fontId="22" fillId="0" borderId="9" xfId="0" applyFont="1" applyBorder="1" applyAlignment="1">
      <alignment vertical="center"/>
    </xf>
    <xf numFmtId="0" fontId="22" fillId="0" borderId="9" xfId="0" applyFont="1" applyBorder="1" applyAlignment="1">
      <alignment horizontal="left" vertical="center"/>
    </xf>
    <xf numFmtId="164" fontId="23" fillId="0" borderId="9" xfId="0" applyNumberFormat="1" applyFont="1" applyBorder="1" applyAlignment="1">
      <alignment horizontal="right" vertical="center"/>
    </xf>
    <xf numFmtId="164" fontId="23" fillId="0" borderId="2" xfId="0" applyNumberFormat="1" applyFont="1" applyBorder="1" applyAlignment="1">
      <alignment horizontal="right" vertical="center"/>
    </xf>
    <xf numFmtId="0" fontId="17" fillId="0" borderId="5" xfId="0" applyFont="1" applyBorder="1" applyAlignment="1">
      <alignment horizontal="centerContinuous" vertical="center"/>
    </xf>
    <xf numFmtId="0" fontId="17" fillId="0" borderId="21" xfId="0" applyFont="1" applyBorder="1" applyAlignment="1">
      <alignment horizontal="centerContinuous" vertical="center"/>
    </xf>
    <xf numFmtId="0" fontId="16" fillId="0" borderId="21" xfId="0" applyFont="1" applyBorder="1" applyAlignment="1">
      <alignment horizontal="centerContinuous" vertical="center"/>
    </xf>
    <xf numFmtId="0" fontId="16" fillId="0" borderId="6" xfId="0" applyFont="1" applyBorder="1" applyAlignment="1">
      <alignment horizontal="centerContinuous" vertical="center"/>
    </xf>
    <xf numFmtId="0" fontId="24" fillId="0" borderId="13" xfId="0" applyFont="1" applyBorder="1" applyAlignment="1">
      <alignment vertical="center"/>
    </xf>
    <xf numFmtId="0" fontId="24" fillId="0" borderId="13" xfId="0" applyFont="1" applyBorder="1" applyAlignment="1">
      <alignment horizontal="center" vertical="center"/>
    </xf>
    <xf numFmtId="0" fontId="24" fillId="0" borderId="7" xfId="0" applyFont="1" applyBorder="1" applyAlignment="1">
      <alignment horizontal="centerContinuous" vertical="center"/>
    </xf>
    <xf numFmtId="0" fontId="24" fillId="0" borderId="22" xfId="0" applyFont="1" applyBorder="1" applyAlignment="1">
      <alignment horizontal="centerContinuous" vertical="center"/>
    </xf>
    <xf numFmtId="0" fontId="24" fillId="0" borderId="8" xfId="0" applyFont="1" applyBorder="1" applyAlignment="1">
      <alignment horizontal="centerContinuous" vertical="center"/>
    </xf>
    <xf numFmtId="0" fontId="24" fillId="0" borderId="7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22" xfId="0" applyFont="1" applyBorder="1" applyAlignment="1">
      <alignment horizontal="left" vertical="center"/>
    </xf>
    <xf numFmtId="0" fontId="18" fillId="0" borderId="23" xfId="0" applyFont="1" applyBorder="1" applyAlignment="1">
      <alignment horizontal="center"/>
    </xf>
    <xf numFmtId="0" fontId="25" fillId="0" borderId="24" xfId="0" applyFont="1" applyBorder="1" applyAlignment="1">
      <alignment horizontal="center"/>
    </xf>
    <xf numFmtId="0" fontId="24" fillId="0" borderId="25" xfId="0" applyFont="1" applyBorder="1" applyAlignment="1">
      <alignment vertical="center"/>
    </xf>
    <xf numFmtId="20" fontId="26" fillId="0" borderId="1" xfId="0" applyNumberFormat="1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20" fontId="26" fillId="0" borderId="2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Continuous" vertical="center"/>
    </xf>
    <xf numFmtId="0" fontId="26" fillId="0" borderId="9" xfId="0" applyFont="1" applyBorder="1" applyAlignment="1">
      <alignment horizontal="centerContinuous" vertical="center"/>
    </xf>
    <xf numFmtId="0" fontId="26" fillId="0" borderId="2" xfId="0" applyFont="1" applyBorder="1" applyAlignment="1">
      <alignment horizontal="centerContinuous" vertical="center"/>
    </xf>
    <xf numFmtId="0" fontId="26" fillId="0" borderId="1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1" xfId="0" applyFont="1" applyBorder="1" applyAlignment="1">
      <alignment vertical="center"/>
    </xf>
    <xf numFmtId="0" fontId="27" fillId="0" borderId="9" xfId="0" applyFont="1" applyBorder="1" applyAlignment="1">
      <alignment vertical="center"/>
    </xf>
    <xf numFmtId="0" fontId="27" fillId="0" borderId="2" xfId="0" applyFont="1" applyBorder="1" applyAlignment="1">
      <alignment vertical="center"/>
    </xf>
    <xf numFmtId="0" fontId="28" fillId="0" borderId="26" xfId="0" applyFont="1" applyBorder="1" applyAlignment="1">
      <alignment horizontal="center"/>
    </xf>
    <xf numFmtId="0" fontId="24" fillId="0" borderId="27" xfId="0" applyFont="1" applyBorder="1" applyAlignment="1">
      <alignment vertical="center"/>
    </xf>
    <xf numFmtId="20" fontId="26" fillId="0" borderId="3" xfId="0" applyNumberFormat="1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0" fontId="26" fillId="0" borderId="4" xfId="0" applyNumberFormat="1" applyFont="1" applyBorder="1" applyAlignment="1">
      <alignment horizontal="center" vertical="center"/>
    </xf>
    <xf numFmtId="0" fontId="26" fillId="0" borderId="3" xfId="0" applyFont="1" applyBorder="1" applyAlignment="1">
      <alignment horizontal="centerContinuous" vertical="center"/>
    </xf>
    <xf numFmtId="0" fontId="26" fillId="0" borderId="0" xfId="0" applyFont="1" applyAlignment="1">
      <alignment horizontal="centerContinuous" vertical="center"/>
    </xf>
    <xf numFmtId="0" fontId="26" fillId="0" borderId="4" xfId="0" applyFont="1" applyBorder="1" applyAlignment="1">
      <alignment horizontal="centerContinuous" vertical="center"/>
    </xf>
    <xf numFmtId="0" fontId="26" fillId="0" borderId="3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3" xfId="0" applyFont="1" applyBorder="1" applyAlignment="1">
      <alignment vertical="center"/>
    </xf>
    <xf numFmtId="0" fontId="27" fillId="0" borderId="0" xfId="0" applyFont="1" applyAlignment="1">
      <alignment vertical="center"/>
    </xf>
    <xf numFmtId="0" fontId="27" fillId="0" borderId="4" xfId="0" applyFont="1" applyBorder="1" applyAlignment="1">
      <alignment vertical="center"/>
    </xf>
    <xf numFmtId="0" fontId="28" fillId="0" borderId="13" xfId="0" applyFont="1" applyBorder="1" applyAlignment="1">
      <alignment horizontal="center"/>
    </xf>
    <xf numFmtId="0" fontId="26" fillId="0" borderId="3" xfId="0" applyFont="1" applyBorder="1" applyAlignment="1">
      <alignment horizontal="centerContinuous"/>
    </xf>
    <xf numFmtId="0" fontId="24" fillId="0" borderId="26" xfId="0" applyFont="1" applyBorder="1" applyAlignment="1">
      <alignment vertical="center"/>
    </xf>
    <xf numFmtId="20" fontId="26" fillId="0" borderId="5" xfId="0" applyNumberFormat="1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20" fontId="26" fillId="0" borderId="6" xfId="0" applyNumberFormat="1" applyFont="1" applyBorder="1" applyAlignment="1">
      <alignment horizontal="center" vertical="center"/>
    </xf>
    <xf numFmtId="0" fontId="26" fillId="0" borderId="5" xfId="0" applyFont="1" applyBorder="1" applyAlignment="1">
      <alignment horizontal="centerContinuous" vertical="center"/>
    </xf>
    <xf numFmtId="0" fontId="26" fillId="0" borderId="21" xfId="0" applyFont="1" applyBorder="1" applyAlignment="1">
      <alignment horizontal="centerContinuous" vertical="center"/>
    </xf>
    <xf numFmtId="0" fontId="26" fillId="0" borderId="6" xfId="0" applyFont="1" applyBorder="1" applyAlignment="1">
      <alignment horizontal="centerContinuous" vertical="center"/>
    </xf>
    <xf numFmtId="0" fontId="26" fillId="0" borderId="5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5" xfId="0" applyFont="1" applyBorder="1" applyAlignment="1">
      <alignment vertical="center"/>
    </xf>
    <xf numFmtId="0" fontId="27" fillId="0" borderId="21" xfId="0" applyFont="1" applyBorder="1" applyAlignment="1">
      <alignment vertical="center"/>
    </xf>
    <xf numFmtId="0" fontId="27" fillId="0" borderId="6" xfId="0" applyFont="1" applyBorder="1" applyAlignment="1">
      <alignment vertical="center"/>
    </xf>
    <xf numFmtId="0" fontId="28" fillId="0" borderId="0" xfId="0" applyFont="1" applyAlignment="1">
      <alignment vertical="center"/>
    </xf>
    <xf numFmtId="0" fontId="27" fillId="0" borderId="0" xfId="0" applyFont="1"/>
    <xf numFmtId="0" fontId="24" fillId="0" borderId="25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/>
    </xf>
    <xf numFmtId="0" fontId="24" fillId="0" borderId="13" xfId="0" applyFont="1" applyBorder="1" applyAlignment="1">
      <alignment horizontal="center" vertical="center"/>
    </xf>
    <xf numFmtId="0" fontId="24" fillId="0" borderId="9" xfId="0" applyFont="1" applyBorder="1" applyAlignment="1">
      <alignment horizontal="centerContinuous" vertical="center"/>
    </xf>
    <xf numFmtId="0" fontId="24" fillId="0" borderId="1" xfId="0" applyFont="1" applyBorder="1" applyAlignment="1">
      <alignment horizontal="centerContinuous" vertical="center"/>
    </xf>
    <xf numFmtId="0" fontId="24" fillId="0" borderId="2" xfId="0" applyFont="1" applyBorder="1" applyAlignment="1">
      <alignment horizontal="centerContinuous" vertical="center"/>
    </xf>
    <xf numFmtId="0" fontId="4" fillId="0" borderId="13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6" fillId="0" borderId="7" xfId="0" applyFont="1" applyBorder="1" applyAlignment="1">
      <alignment horizontal="left" vertical="center"/>
    </xf>
    <xf numFmtId="0" fontId="26" fillId="0" borderId="22" xfId="0" applyFont="1" applyBorder="1" applyAlignment="1">
      <alignment horizontal="left" vertical="center"/>
    </xf>
    <xf numFmtId="0" fontId="27" fillId="0" borderId="8" xfId="0" applyFont="1" applyBorder="1" applyAlignment="1">
      <alignment vertical="center"/>
    </xf>
    <xf numFmtId="0" fontId="27" fillId="0" borderId="13" xfId="0" applyFont="1" applyBorder="1" applyAlignment="1">
      <alignment vertical="center"/>
    </xf>
    <xf numFmtId="0" fontId="27" fillId="0" borderId="7" xfId="0" applyFont="1" applyBorder="1" applyAlignment="1">
      <alignment vertical="center"/>
    </xf>
    <xf numFmtId="0" fontId="26" fillId="0" borderId="1" xfId="0" applyFont="1" applyBorder="1" applyAlignment="1">
      <alignment horizontal="left" vertical="center"/>
    </xf>
    <xf numFmtId="0" fontId="26" fillId="0" borderId="9" xfId="0" applyFont="1" applyBorder="1" applyAlignment="1">
      <alignment horizontal="left" vertical="center"/>
    </xf>
    <xf numFmtId="0" fontId="26" fillId="0" borderId="5" xfId="0" applyFont="1" applyBorder="1" applyAlignment="1">
      <alignment horizontal="left" vertical="center"/>
    </xf>
    <xf numFmtId="0" fontId="26" fillId="0" borderId="21" xfId="0" applyFont="1" applyBorder="1" applyAlignment="1">
      <alignment horizontal="left" vertical="center"/>
    </xf>
    <xf numFmtId="0" fontId="27" fillId="0" borderId="25" xfId="0" applyFont="1" applyBorder="1" applyAlignment="1">
      <alignment vertical="center"/>
    </xf>
    <xf numFmtId="0" fontId="27" fillId="0" borderId="22" xfId="0" applyFont="1" applyBorder="1" applyAlignment="1">
      <alignment vertical="center"/>
    </xf>
    <xf numFmtId="0" fontId="27" fillId="0" borderId="26" xfId="0" applyFont="1" applyBorder="1" applyAlignment="1">
      <alignment vertical="center"/>
    </xf>
    <xf numFmtId="0" fontId="27" fillId="7" borderId="13" xfId="0" applyFont="1" applyFill="1" applyBorder="1" applyAlignment="1">
      <alignment vertical="center"/>
    </xf>
    <xf numFmtId="0" fontId="27" fillId="7" borderId="7" xfId="0" applyFont="1" applyFill="1" applyBorder="1" applyAlignment="1">
      <alignment vertical="center"/>
    </xf>
    <xf numFmtId="0" fontId="27" fillId="7" borderId="8" xfId="0" applyFont="1" applyFill="1" applyBorder="1" applyAlignment="1">
      <alignment vertical="center"/>
    </xf>
    <xf numFmtId="0" fontId="27" fillId="7" borderId="25" xfId="0" applyFont="1" applyFill="1" applyBorder="1" applyAlignment="1">
      <alignment vertical="center"/>
    </xf>
    <xf numFmtId="0" fontId="27" fillId="8" borderId="13" xfId="0" applyFont="1" applyFill="1" applyBorder="1" applyAlignment="1">
      <alignment vertical="center"/>
    </xf>
    <xf numFmtId="0" fontId="27" fillId="8" borderId="7" xfId="0" applyFont="1" applyFill="1" applyBorder="1" applyAlignment="1">
      <alignment vertical="center"/>
    </xf>
    <xf numFmtId="0" fontId="27" fillId="8" borderId="8" xfId="0" applyFont="1" applyFill="1" applyBorder="1" applyAlignment="1">
      <alignment vertical="center"/>
    </xf>
    <xf numFmtId="0" fontId="27" fillId="8" borderId="25" xfId="0" applyFont="1" applyFill="1" applyBorder="1" applyAlignment="1">
      <alignment vertical="center"/>
    </xf>
    <xf numFmtId="0" fontId="26" fillId="0" borderId="3" xfId="0" applyFont="1" applyBorder="1" applyAlignment="1">
      <alignment horizontal="left" vertical="center"/>
    </xf>
    <xf numFmtId="0" fontId="26" fillId="0" borderId="1" xfId="0" applyFont="1" applyBorder="1" applyAlignment="1">
      <alignment vertical="center"/>
    </xf>
    <xf numFmtId="0" fontId="26" fillId="0" borderId="9" xfId="0" applyFont="1" applyBorder="1" applyAlignment="1">
      <alignment vertical="center"/>
    </xf>
    <xf numFmtId="0" fontId="26" fillId="0" borderId="2" xfId="0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0" xfId="0" applyFont="1" applyAlignment="1">
      <alignment vertical="center"/>
    </xf>
    <xf numFmtId="0" fontId="26" fillId="0" borderId="4" xfId="0" applyFont="1" applyBorder="1" applyAlignment="1">
      <alignment vertical="center"/>
    </xf>
    <xf numFmtId="0" fontId="26" fillId="0" borderId="5" xfId="0" applyFont="1" applyBorder="1" applyAlignment="1">
      <alignment vertical="center"/>
    </xf>
    <xf numFmtId="0" fontId="26" fillId="0" borderId="21" xfId="0" applyFont="1" applyBorder="1" applyAlignment="1">
      <alignment vertical="center"/>
    </xf>
    <xf numFmtId="0" fontId="26" fillId="0" borderId="6" xfId="0" applyFont="1" applyBorder="1" applyAlignment="1">
      <alignment vertical="center"/>
    </xf>
    <xf numFmtId="0" fontId="24" fillId="0" borderId="9" xfId="0" applyFont="1" applyBorder="1" applyAlignment="1">
      <alignment horizontal="left" vertical="center"/>
    </xf>
    <xf numFmtId="0" fontId="3" fillId="0" borderId="26" xfId="0" applyFont="1" applyBorder="1"/>
    <xf numFmtId="0" fontId="3" fillId="0" borderId="13" xfId="0" applyFont="1" applyBorder="1"/>
    <xf numFmtId="0" fontId="29" fillId="0" borderId="0" xfId="0" applyFont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 applyAlignment="1">
      <alignment horizontal="center" vertical="center"/>
    </xf>
    <xf numFmtId="0" fontId="17" fillId="0" borderId="9" xfId="0" applyFont="1" applyBorder="1" applyAlignment="1">
      <alignment horizontal="centerContinuous" vertical="center"/>
    </xf>
    <xf numFmtId="0" fontId="16" fillId="0" borderId="9" xfId="0" applyFont="1" applyBorder="1" applyAlignment="1">
      <alignment horizontal="centerContinuous" vertical="center"/>
    </xf>
    <xf numFmtId="0" fontId="30" fillId="0" borderId="21" xfId="0" applyFont="1" applyBorder="1" applyAlignment="1">
      <alignment vertical="center"/>
    </xf>
    <xf numFmtId="0" fontId="17" fillId="0" borderId="21" xfId="0" applyFont="1" applyBorder="1" applyAlignment="1">
      <alignment vertical="center"/>
    </xf>
    <xf numFmtId="0" fontId="16" fillId="0" borderId="21" xfId="0" applyFont="1" applyBorder="1" applyAlignment="1">
      <alignment vertical="center"/>
    </xf>
    <xf numFmtId="0" fontId="24" fillId="0" borderId="22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49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27" fillId="0" borderId="9" xfId="0" applyFont="1" applyBorder="1" applyAlignment="1">
      <alignment horizontal="centerContinuous" vertical="center"/>
    </xf>
    <xf numFmtId="0" fontId="3" fillId="0" borderId="9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" xfId="0" applyFont="1" applyBorder="1" applyAlignment="1">
      <alignment horizontal="left" vertical="center"/>
    </xf>
    <xf numFmtId="0" fontId="27" fillId="0" borderId="0" xfId="0" applyFont="1" applyAlignment="1">
      <alignment horizontal="centerContinuous" vertical="center"/>
    </xf>
    <xf numFmtId="0" fontId="3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2" fillId="0" borderId="4" xfId="0" applyFont="1" applyBorder="1" applyAlignment="1">
      <alignment vertical="center"/>
    </xf>
    <xf numFmtId="0" fontId="3" fillId="0" borderId="5" xfId="0" applyFont="1" applyBorder="1" applyAlignment="1">
      <alignment horizontal="left" vertical="center"/>
    </xf>
    <xf numFmtId="0" fontId="27" fillId="0" borderId="21" xfId="0" applyFont="1" applyBorder="1" applyAlignment="1">
      <alignment horizontal="centerContinuous" vertical="center"/>
    </xf>
    <xf numFmtId="0" fontId="3" fillId="0" borderId="21" xfId="0" applyFont="1" applyBorder="1" applyAlignment="1">
      <alignment horizontal="left" vertical="center"/>
    </xf>
    <xf numFmtId="0" fontId="31" fillId="0" borderId="21" xfId="0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24" fillId="0" borderId="7" xfId="0" applyFont="1" applyBorder="1" applyAlignment="1">
      <alignment horizontal="left" vertical="center"/>
    </xf>
    <xf numFmtId="49" fontId="31" fillId="0" borderId="2" xfId="0" applyNumberFormat="1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4" fillId="0" borderId="9" xfId="0" applyFont="1" applyBorder="1" applyAlignment="1">
      <alignment vertical="center"/>
    </xf>
    <xf numFmtId="0" fontId="33" fillId="0" borderId="9" xfId="0" applyFont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0" fontId="28" fillId="0" borderId="0" xfId="0" applyFont="1"/>
    <xf numFmtId="0" fontId="33" fillId="0" borderId="21" xfId="0" applyFont="1" applyBorder="1" applyAlignment="1">
      <alignment horizontal="left" vertical="center"/>
    </xf>
    <xf numFmtId="0" fontId="34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0" fontId="35" fillId="0" borderId="0" xfId="0" applyFont="1"/>
    <xf numFmtId="0" fontId="17" fillId="0" borderId="0" xfId="0" applyFont="1" applyAlignment="1">
      <alignment horizontal="centerContinuous" vertical="center"/>
    </xf>
    <xf numFmtId="0" fontId="16" fillId="0" borderId="0" xfId="0" applyFont="1" applyAlignment="1">
      <alignment horizontal="centerContinuous" vertical="center"/>
    </xf>
    <xf numFmtId="20" fontId="31" fillId="0" borderId="1" xfId="0" applyNumberFormat="1" applyFont="1" applyBorder="1" applyAlignment="1">
      <alignment horizontal="center" vertical="center"/>
    </xf>
    <xf numFmtId="20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24" fillId="0" borderId="3" xfId="0" applyFont="1" applyBorder="1" applyAlignment="1">
      <alignment vertical="center"/>
    </xf>
    <xf numFmtId="0" fontId="31" fillId="0" borderId="27" xfId="0" applyFont="1" applyBorder="1" applyAlignment="1">
      <alignment horizontal="center" vertical="center"/>
    </xf>
    <xf numFmtId="0" fontId="24" fillId="0" borderId="5" xfId="0" applyFont="1" applyBorder="1" applyAlignment="1">
      <alignment vertical="center"/>
    </xf>
    <xf numFmtId="0" fontId="31" fillId="0" borderId="26" xfId="0" applyFont="1" applyBorder="1" applyAlignment="1">
      <alignment horizontal="center" vertical="center"/>
    </xf>
    <xf numFmtId="0" fontId="28" fillId="0" borderId="9" xfId="0" applyFont="1" applyBorder="1" applyAlignment="1">
      <alignment vertical="center"/>
    </xf>
    <xf numFmtId="0" fontId="30" fillId="0" borderId="0" xfId="0" applyFont="1" applyAlignment="1">
      <alignment vertical="center"/>
    </xf>
    <xf numFmtId="20" fontId="31" fillId="0" borderId="2" xfId="0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top"/>
    </xf>
    <xf numFmtId="0" fontId="36" fillId="0" borderId="21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8.png"/><Relationship Id="rId1" Type="http://schemas.openxmlformats.org/officeDocument/2006/relationships/image" Target="../media/image3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1]!Picture1_Click">
      <xdr:nvPicPr>
        <xdr:cNvPr id="2" name="Picture 1">
          <a:extLst>
            <a:ext uri="{FF2B5EF4-FFF2-40B4-BE49-F238E27FC236}">
              <a16:creationId xmlns:a16="http://schemas.microsoft.com/office/drawing/2014/main" id="{28BD67A5-AEE0-4858-9F5E-53D9DE2CFE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9130" y="19259"/>
          <a:ext cx="849630" cy="86826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9124</xdr:rowOff>
    </xdr:from>
    <xdr:to>
      <xdr:col>6</xdr:col>
      <xdr:colOff>962025</xdr:colOff>
      <xdr:row>4</xdr:row>
      <xdr:rowOff>67076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BB5D6D-12B7-4E94-8A5D-650FCAE310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739890" y="9124"/>
          <a:ext cx="904875" cy="8123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D54AA17-4DD6-4AFA-95B6-51FA7FD603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B740E71-5D49-4A3E-932A-04C2379A812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0B56808-A007-4995-8717-09AA2548DE0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D927C29-F925-46BD-A4AA-1F5FFB2E5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D64D466-C362-4941-BC4B-0984D8C2E8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1EBF6D9-B848-4E23-B64F-2D090663B2B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E550871-EA52-4570-92FD-8426028D35D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78AEE7F-7218-4DEF-9F57-5DA0DD562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803A1BE-A9CD-4BD5-92B4-31468AC60C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A6AD432-7624-4AF5-8E43-96D964A40478}"/>
            </a:ext>
          </a:extLst>
        </xdr:cNvPr>
        <xdr:cNvSpPr/>
      </xdr:nvSpPr>
      <xdr:spPr bwMode="auto">
        <a:xfrm>
          <a:off x="3535680" y="0"/>
          <a:ext cx="2105660" cy="93218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97974AD-954F-44B7-B7DB-4867671B1196}"/>
            </a:ext>
          </a:extLst>
        </xdr:cNvPr>
        <xdr:cNvSpPr/>
      </xdr:nvSpPr>
      <xdr:spPr bwMode="auto">
        <a:xfrm>
          <a:off x="3680460" y="33020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C1B9775-CC90-4B19-A039-CDB6B5C1F9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21665" cy="61404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1EF946A-4888-45DC-9174-9A8788FBE6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A1C0D94-87F6-40F4-9F5A-6C88D8777DD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993AA4B-55BE-47E5-9131-2B5000E3067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8DACA67-59C8-4551-8A07-51CEB5D5F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2C00108-E542-4389-94AA-E0630AC421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ECA6C52-F194-44F9-918E-0AD78B13C25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B9DAA9C-7868-4A78-8730-A404CB4EABB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598933A-2F0F-45B0-AA95-7715F22A1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2A14AF26-1171-4AE6-83BB-DF702E01E7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6C3ACBF-0757-46DA-A754-3C4ADF22B15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820DDFA-6FAE-4A93-BDB5-28BBFDF4297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BAFE90A-5E0B-4DAE-BC3F-FE16C4DC9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20854FD-14F3-4123-82A8-63836ECBE6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D57CFC1-5F8D-4FAF-BA6F-E3EB8357B63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821EB5A-CE23-499B-AF41-32BF76EE5FC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3BD2F92-098F-483A-ACF9-8F8063C1D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329273A-CE43-425F-8A4B-BB431B55E3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B9630DB-9812-4AFE-A9A5-AC58BF0043E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9950566-11CE-4D63-BB52-A91EAAB94C4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7AB7BDA-2B47-4FCA-A9B7-39F149475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27E1E380-AE6E-461D-85C9-1E678CA0B5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BED8789-24CA-4CE8-A864-44A8498B414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3F38C3E-6B21-473C-AF3C-60A3B9EA32A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48F1B27-682B-432E-B662-1D3DA624C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20DA322-8264-4307-868B-827C363DE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A7C4ECA-E032-4B35-8914-CE1D0D78A76A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CAA7DB3-886E-401C-8B48-2A5C51226FD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E75080E-FBF1-4363-8E1D-A0E317F72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D9ACE47-CF98-477F-90CE-2229982577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4470E2-6449-405B-8114-0CC05B88CBE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08A3C86-83F8-4516-B0F6-ADDD7F3EC63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F3CAC13-FA97-4579-B174-049C084FA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581D202-6184-42F3-9256-974151722B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D6891CA-A91D-4F16-AA7F-040533CDB03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C8725B8-AB8E-4A98-8A40-04EDE4A754E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A3A35D3-9A87-4A74-9C24-6A7430120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BA3E1F1-B486-4355-BFA4-CA582CF8F0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96B30FB-82FB-4516-B7D1-595A54D9E7D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D5FAB4A4-2943-4222-A629-EA19665BBD9A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EE427FF-ACA1-4933-9351-56846AD915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774A54D-D1C4-4DE0-9B99-0627CA8D00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5AD68CA-7455-4AF6-86A6-DBB8DD81585A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E6DBF2F-399F-4742-B6AF-FF72DA9479A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F0156A5-8921-44D7-9B61-07302D8BA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62773D5-1F5E-442E-A1DD-D0E671C168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0892861-C8FA-46F0-A3C7-291BC4ED722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CA90256-8276-4195-BC35-E25B38B8F33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54F8AA4-7888-4C22-82F6-81740F304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373286C-68AC-4B64-9CE7-D3298ECA28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CA30273-6E0E-4EB6-BB4F-14647576E8A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A77CFFF-62BB-4892-B66F-E143977AEF3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6BA0B19-64AA-420A-BC77-BC4F39CC1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687A284-8BAB-42FD-AEFC-2751FA664F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37FCE0D-A422-41E2-BE5E-0739457FE56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CE089A8-1FA1-483A-A9AA-C182D5A793B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F165EEE-5D54-4E67-8F38-FA33205B1C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CA4ACD5-77E0-49B8-A4D0-550BEF45D6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B32E6E7-C779-4C86-869D-DAB2F7098D6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56D7C6B-DA80-4E95-A1FA-2A8C1CBA8EA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A9560E7-C534-4B61-95AF-F46B85D1E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433D6562-8D07-423A-9BE9-2C41F07086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7DF445A-FFCF-4E77-81BA-F98C0EC1EB83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6B5F185-E116-49F7-B771-1DD5BA5DD1A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31FB0A9-F680-4538-8DD6-0EC49F274C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4198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F59C621-2B6F-470D-B23F-170ECF892D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89BEC08-441C-46E8-8AF0-A753B86E9CB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914D832-A752-460D-BED1-28130AFF4DB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B56A66A-82A9-47CD-B6E9-81E80D49B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4198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6146544-4CED-47B8-AC3E-462AC2D7C6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E614B0D-A34B-4654-89B7-22674ACBC44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A316287-A2AB-44F5-B805-5444BA63BB8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D1ABB00-0CDE-4803-B953-0ED5441CC8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047474A-526C-4A84-8756-7938ABC416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20E606D-1EF8-4BAB-8AD2-309FC3039A2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002EC05-6B57-40CA-818D-BB3475307F9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F6C3933-2A1E-48B4-93C7-6979F5825C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CC9C9F47-ECE6-445F-AD32-791B067A5B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2FD24DF-0DCE-4DA2-BBB1-91A49D594E3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D10FAB57-E3DE-455F-B96A-79A290FBB61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5AD36E6-8908-4C4B-977C-8FB2BA24E2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AB63E0-0FE8-4878-9517-3FDEDAD095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64C5326-BBDC-4901-94FD-8672D7211B3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DFD4A876-F4C1-48BD-ACDC-402FFEDD3D5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2A285EC-E9B2-45C8-8C77-0BA72FF9D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7D46F7B-43CC-49DC-9D1B-545EAD1B29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60A4FB7-2A00-469B-BD3F-31139849500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25F4261-9FEC-492D-A9E2-726F29FC3B0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AE5F875-B679-4087-B20B-A78A6BA34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8F59471-13EB-4FD6-AA46-DE8DA1707E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19C77E2-76E4-4B53-8E36-7A47275193F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6A0A32C-DC8F-4775-8265-DC82411E715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17A47E3-8BF2-4552-8CBB-E3D82CB2C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123DCAE-FECE-426D-866A-9150071C4D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9494" y="0"/>
          <a:ext cx="966807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E72BFDB-0709-4C16-8E2D-D95637814B5E}"/>
            </a:ext>
          </a:extLst>
        </xdr:cNvPr>
        <xdr:cNvSpPr/>
      </xdr:nvSpPr>
      <xdr:spPr bwMode="auto">
        <a:xfrm>
          <a:off x="3535680" y="0"/>
          <a:ext cx="2118360" cy="928551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A8AF05D-EA0B-40AD-A432-8675DE863A59}"/>
            </a:ext>
          </a:extLst>
        </xdr:cNvPr>
        <xdr:cNvSpPr/>
      </xdr:nvSpPr>
      <xdr:spPr bwMode="auto">
        <a:xfrm>
          <a:off x="3680460" y="333103"/>
          <a:ext cx="924197" cy="496388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189533</xdr:colOff>
      <xdr:row>1</xdr:row>
      <xdr:rowOff>16709</xdr:rowOff>
    </xdr:from>
    <xdr:to>
      <xdr:col>12</xdr:col>
      <xdr:colOff>245079</xdr:colOff>
      <xdr:row>4</xdr:row>
      <xdr:rowOff>77509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7E895A0-924F-4F32-BD8F-683D63A62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5353" y="275789"/>
          <a:ext cx="611806" cy="609440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47AF56C0-25F8-4AB2-97E8-5B6960F13C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50528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6FA4E01-0AB6-4483-80F7-A56EEEDC685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D973CFB-7C48-4E17-A6EC-B5012C5AC98A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253365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7C788D9-2173-4E5C-BCDF-1B10C9BBA1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6745" cy="630555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2BB0B6F5-8CEE-4229-B062-00B7F97EEF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8289" y="0"/>
          <a:ext cx="968712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D601FB4-BD62-4F4B-96DF-558D981AD2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9494" y="0"/>
          <a:ext cx="966807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9DDD863-665C-4E1F-8A7E-315523E65EB6}"/>
            </a:ext>
          </a:extLst>
        </xdr:cNvPr>
        <xdr:cNvSpPr/>
      </xdr:nvSpPr>
      <xdr:spPr bwMode="auto">
        <a:xfrm>
          <a:off x="3535680" y="0"/>
          <a:ext cx="2118360" cy="928551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CD2E1DC-40B8-4543-A9D7-10DDDC16F7EE}"/>
            </a:ext>
          </a:extLst>
        </xdr:cNvPr>
        <xdr:cNvSpPr/>
      </xdr:nvSpPr>
      <xdr:spPr bwMode="auto">
        <a:xfrm>
          <a:off x="3680460" y="333103"/>
          <a:ext cx="924197" cy="496388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256903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3A59F2D-1665-4A2B-804E-8A9E3F3D4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5929" cy="61259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Master.xlsm" TargetMode="External"/><Relationship Id="rId2" Type="http://schemas.openxmlformats.org/officeDocument/2006/relationships/externalLinkPath" Target="file:///C:\Temp\SEP\Master.xlsm" TargetMode="External"/><Relationship Id="rId1" Type="http://schemas.openxmlformats.org/officeDocument/2006/relationships/externalLinkPath" Target="/Temp/SEP/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cholen"/>
      <sheetName val="Teams"/>
      <sheetName val="Sportiviteit"/>
      <sheetName val="Scheids"/>
      <sheetName val="PouleA"/>
      <sheetName val="PouleB"/>
      <sheetName val="PouleC"/>
      <sheetName val="PouleD"/>
      <sheetName val="PouleE"/>
      <sheetName val="PouleF"/>
      <sheetName val="PouleG"/>
      <sheetName val="PouleH"/>
      <sheetName val="PouleI"/>
      <sheetName val="PouleJ"/>
      <sheetName val="PouleK"/>
      <sheetName val="PouleL"/>
      <sheetName val="PouleM"/>
      <sheetName val="PouleN"/>
      <sheetName val="PouleO"/>
      <sheetName val="PouleP"/>
      <sheetName val="PouleQ"/>
      <sheetName val="PouleR"/>
      <sheetName val="PouleS"/>
      <sheetName val="PouleT"/>
      <sheetName val="PouleU"/>
      <sheetName val="PouleV"/>
      <sheetName val="PouleW"/>
      <sheetName val="PouleX"/>
      <sheetName val="PouleY"/>
      <sheetName val="PouleZ"/>
      <sheetName val="Finales"/>
      <sheetName val="Finales1"/>
      <sheetName val="Finales2"/>
    </sheetNames>
    <definedNames>
      <definedName name="Picture1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7DA09-7946-49D7-B99B-018250A25019}">
  <sheetPr codeName="Blad1"/>
  <dimension ref="A3:AK69"/>
  <sheetViews>
    <sheetView tabSelected="1" topLeftCell="B3" zoomScaleNormal="100" workbookViewId="0">
      <selection activeCell="D27" sqref="D27"/>
    </sheetView>
  </sheetViews>
  <sheetFormatPr defaultColWidth="9.109375" defaultRowHeight="13.8" x14ac:dyDescent="0.3"/>
  <cols>
    <col min="1" max="2" width="9.109375" style="4"/>
    <col min="3" max="3" width="4.6640625" style="4" customWidth="1"/>
    <col min="4" max="4" width="9.109375" style="4"/>
    <col min="5" max="5" width="4.6640625" style="4" customWidth="1"/>
    <col min="6" max="6" width="9.109375" style="4"/>
    <col min="7" max="7" width="4.6640625" style="4" customWidth="1"/>
    <col min="8" max="8" width="9.109375" style="4"/>
    <col min="9" max="9" width="4.6640625" style="4" customWidth="1"/>
    <col min="10" max="10" width="9.109375" style="4"/>
    <col min="11" max="11" width="4.6640625" style="4" customWidth="1"/>
    <col min="12" max="12" width="9.109375" style="4"/>
    <col min="13" max="13" width="4.6640625" style="4" customWidth="1"/>
    <col min="14" max="14" width="9.109375" style="4"/>
    <col min="15" max="15" width="4.6640625" style="4" customWidth="1"/>
    <col min="16" max="16" width="9.109375" style="4"/>
    <col min="17" max="17" width="4.6640625" style="4" customWidth="1"/>
    <col min="18" max="18" width="9.109375" style="4"/>
    <col min="19" max="19" width="4.6640625" style="4" customWidth="1"/>
    <col min="20" max="16384" width="9.109375" style="4"/>
  </cols>
  <sheetData>
    <row r="3" spans="2:37" ht="18" x14ac:dyDescent="0.35">
      <c r="B3" s="1" t="s">
        <v>0</v>
      </c>
      <c r="C3" s="2"/>
      <c r="D3" s="3">
        <v>46127</v>
      </c>
      <c r="E3" s="3"/>
      <c r="F3" s="3"/>
    </row>
    <row r="4" spans="2:37" x14ac:dyDescent="0.3">
      <c r="B4" s="5"/>
      <c r="D4" s="6"/>
      <c r="E4" s="6"/>
    </row>
    <row r="6" spans="2:37" x14ac:dyDescent="0.3">
      <c r="B6" s="7" t="s">
        <v>1</v>
      </c>
      <c r="C6" s="8" t="s">
        <v>2</v>
      </c>
      <c r="D6" s="7" t="s">
        <v>1</v>
      </c>
      <c r="E6" s="8" t="s">
        <v>3</v>
      </c>
      <c r="F6" s="7" t="s">
        <v>1</v>
      </c>
      <c r="G6" s="8" t="s">
        <v>4</v>
      </c>
      <c r="H6" s="7" t="s">
        <v>1</v>
      </c>
      <c r="I6" s="8" t="s">
        <v>5</v>
      </c>
      <c r="J6" s="7" t="s">
        <v>1</v>
      </c>
      <c r="K6" s="8" t="s">
        <v>6</v>
      </c>
      <c r="L6" s="7" t="s">
        <v>1</v>
      </c>
      <c r="M6" s="8" t="s">
        <v>7</v>
      </c>
      <c r="N6" s="7" t="s">
        <v>1</v>
      </c>
      <c r="O6" s="8" t="s">
        <v>8</v>
      </c>
      <c r="P6" s="7" t="s">
        <v>1</v>
      </c>
      <c r="Q6" s="8" t="s">
        <v>9</v>
      </c>
      <c r="R6" s="7" t="s">
        <v>1</v>
      </c>
      <c r="S6" s="8" t="s">
        <v>10</v>
      </c>
    </row>
    <row r="7" spans="2:37" x14ac:dyDescent="0.3">
      <c r="B7" s="9" t="s">
        <v>11</v>
      </c>
      <c r="C7" s="10">
        <v>1</v>
      </c>
      <c r="D7" s="9" t="s">
        <v>11</v>
      </c>
      <c r="E7" s="10">
        <v>2</v>
      </c>
      <c r="F7" s="9" t="s">
        <v>11</v>
      </c>
      <c r="G7" s="10">
        <v>3</v>
      </c>
      <c r="H7" s="9" t="s">
        <v>11</v>
      </c>
      <c r="I7" s="10">
        <v>4</v>
      </c>
      <c r="J7" s="9" t="s">
        <v>11</v>
      </c>
      <c r="K7" s="10">
        <v>5</v>
      </c>
      <c r="L7" s="9" t="s">
        <v>11</v>
      </c>
      <c r="M7" s="10">
        <v>6</v>
      </c>
      <c r="N7" s="9" t="s">
        <v>11</v>
      </c>
      <c r="O7" s="10">
        <v>7</v>
      </c>
      <c r="P7" s="9" t="s">
        <v>11</v>
      </c>
      <c r="Q7" s="10">
        <v>8</v>
      </c>
      <c r="R7" s="9" t="s">
        <v>11</v>
      </c>
      <c r="S7" s="10">
        <v>9</v>
      </c>
    </row>
    <row r="8" spans="2:37" x14ac:dyDescent="0.3">
      <c r="B8" s="11" t="s">
        <v>12</v>
      </c>
      <c r="C8" s="12"/>
      <c r="D8" s="11" t="s">
        <v>12</v>
      </c>
      <c r="E8" s="12"/>
      <c r="F8" s="11" t="s">
        <v>13</v>
      </c>
      <c r="G8" s="12"/>
      <c r="H8" s="11" t="s">
        <v>13</v>
      </c>
      <c r="I8" s="12"/>
      <c r="J8" s="11" t="s">
        <v>13</v>
      </c>
      <c r="K8" s="12"/>
      <c r="L8" s="11" t="s">
        <v>13</v>
      </c>
      <c r="M8" s="12"/>
      <c r="N8" s="11" t="s">
        <v>14</v>
      </c>
      <c r="O8" s="12"/>
      <c r="P8" s="11" t="s">
        <v>14</v>
      </c>
      <c r="Q8" s="12"/>
      <c r="R8" s="11" t="s">
        <v>14</v>
      </c>
      <c r="S8" s="12"/>
    </row>
    <row r="9" spans="2:37" x14ac:dyDescent="0.3">
      <c r="B9" s="13" t="s">
        <v>15</v>
      </c>
      <c r="C9" s="14"/>
      <c r="D9" s="13" t="s">
        <v>15</v>
      </c>
      <c r="E9" s="14"/>
      <c r="F9" s="13" t="s">
        <v>15</v>
      </c>
      <c r="G9" s="14"/>
      <c r="H9" s="13" t="s">
        <v>15</v>
      </c>
      <c r="I9" s="14"/>
      <c r="J9" s="13" t="s">
        <v>15</v>
      </c>
      <c r="K9" s="14"/>
      <c r="L9" s="13" t="s">
        <v>15</v>
      </c>
      <c r="M9" s="14"/>
      <c r="N9" s="13" t="s">
        <v>15</v>
      </c>
      <c r="O9" s="14"/>
      <c r="P9" s="13" t="s">
        <v>15</v>
      </c>
      <c r="Q9" s="14"/>
      <c r="R9" s="13" t="s">
        <v>15</v>
      </c>
      <c r="S9" s="14"/>
    </row>
    <row r="10" spans="2:37" x14ac:dyDescent="0.3">
      <c r="B10" s="15" t="s">
        <v>16</v>
      </c>
      <c r="C10" s="16"/>
      <c r="D10" s="15" t="s">
        <v>17</v>
      </c>
      <c r="E10" s="16"/>
      <c r="F10" s="15" t="s">
        <v>18</v>
      </c>
      <c r="G10" s="16"/>
      <c r="H10" s="15" t="s">
        <v>19</v>
      </c>
      <c r="I10" s="16"/>
      <c r="J10" s="15" t="s">
        <v>20</v>
      </c>
      <c r="K10" s="16"/>
      <c r="L10" s="15" t="s">
        <v>21</v>
      </c>
      <c r="M10" s="16"/>
      <c r="N10" s="15" t="s">
        <v>22</v>
      </c>
      <c r="O10" s="16"/>
      <c r="P10" s="15" t="s">
        <v>23</v>
      </c>
      <c r="Q10" s="16"/>
      <c r="R10" s="15" t="s">
        <v>24</v>
      </c>
      <c r="S10" s="16"/>
      <c r="AI10" s="4" t="s">
        <v>22</v>
      </c>
      <c r="AK10" s="4" t="s">
        <v>25</v>
      </c>
    </row>
    <row r="11" spans="2:37" x14ac:dyDescent="0.3">
      <c r="B11" s="15" t="s">
        <v>26</v>
      </c>
      <c r="C11" s="16"/>
      <c r="D11" s="15" t="s">
        <v>27</v>
      </c>
      <c r="E11" s="16"/>
      <c r="F11" s="15" t="s">
        <v>28</v>
      </c>
      <c r="G11" s="16"/>
      <c r="H11" s="15" t="s">
        <v>29</v>
      </c>
      <c r="I11" s="16"/>
      <c r="J11" s="15" t="s">
        <v>30</v>
      </c>
      <c r="K11" s="16"/>
      <c r="L11" s="15" t="s">
        <v>31</v>
      </c>
      <c r="M11" s="16"/>
      <c r="N11" s="15" t="s">
        <v>32</v>
      </c>
      <c r="O11" s="16"/>
      <c r="P11" s="15" t="s">
        <v>33</v>
      </c>
      <c r="Q11" s="16"/>
      <c r="R11" s="15" t="s">
        <v>34</v>
      </c>
      <c r="S11" s="16"/>
      <c r="AI11" s="4" t="s">
        <v>35</v>
      </c>
      <c r="AK11" s="4" t="s">
        <v>33</v>
      </c>
    </row>
    <row r="12" spans="2:37" x14ac:dyDescent="0.3">
      <c r="B12" s="15" t="s">
        <v>36</v>
      </c>
      <c r="C12" s="16"/>
      <c r="D12" s="15" t="s">
        <v>37</v>
      </c>
      <c r="E12" s="16"/>
      <c r="F12" s="15" t="s">
        <v>38</v>
      </c>
      <c r="G12" s="16"/>
      <c r="H12" s="15" t="s">
        <v>39</v>
      </c>
      <c r="I12" s="16"/>
      <c r="J12" s="15" t="s">
        <v>40</v>
      </c>
      <c r="K12" s="16"/>
      <c r="L12" s="15" t="s">
        <v>41</v>
      </c>
      <c r="M12" s="16"/>
      <c r="N12" s="15" t="s">
        <v>42</v>
      </c>
      <c r="O12" s="16"/>
      <c r="P12" s="15" t="s">
        <v>43</v>
      </c>
      <c r="Q12" s="16"/>
      <c r="R12" s="15" t="s">
        <v>44</v>
      </c>
      <c r="S12" s="16"/>
      <c r="AI12" s="4" t="s">
        <v>45</v>
      </c>
      <c r="AK12" s="4" t="s">
        <v>46</v>
      </c>
    </row>
    <row r="13" spans="2:37" x14ac:dyDescent="0.3">
      <c r="B13" s="15" t="s">
        <v>47</v>
      </c>
      <c r="C13" s="16"/>
      <c r="D13" s="15" t="s">
        <v>48</v>
      </c>
      <c r="E13" s="16"/>
      <c r="F13" s="15" t="s">
        <v>49</v>
      </c>
      <c r="G13" s="16"/>
      <c r="H13" s="15" t="s">
        <v>50</v>
      </c>
      <c r="I13" s="16"/>
      <c r="J13" s="15" t="s">
        <v>51</v>
      </c>
      <c r="K13" s="16"/>
      <c r="L13" s="15" t="s">
        <v>52</v>
      </c>
      <c r="M13" s="16"/>
      <c r="N13" s="15" t="s">
        <v>53</v>
      </c>
      <c r="O13" s="16"/>
      <c r="P13" s="15" t="s">
        <v>54</v>
      </c>
      <c r="Q13" s="16"/>
      <c r="R13" s="15" t="s">
        <v>55</v>
      </c>
      <c r="S13" s="16"/>
      <c r="AI13" s="4" t="s">
        <v>56</v>
      </c>
      <c r="AK13" s="4" t="s">
        <v>57</v>
      </c>
    </row>
    <row r="14" spans="2:37" x14ac:dyDescent="0.3">
      <c r="B14" s="15" t="s">
        <v>58</v>
      </c>
      <c r="C14" s="16"/>
      <c r="D14" s="15" t="s">
        <v>59</v>
      </c>
      <c r="E14" s="16"/>
      <c r="F14" s="15" t="s">
        <v>60</v>
      </c>
      <c r="G14" s="16"/>
      <c r="H14" s="15" t="s">
        <v>61</v>
      </c>
      <c r="I14" s="16"/>
      <c r="J14" s="15" t="s">
        <v>62</v>
      </c>
      <c r="K14" s="16"/>
      <c r="L14" s="15" t="s">
        <v>63</v>
      </c>
      <c r="M14" s="16"/>
      <c r="N14" s="15" t="s">
        <v>56</v>
      </c>
      <c r="O14" s="16"/>
      <c r="P14" s="15" t="s">
        <v>45</v>
      </c>
      <c r="Q14" s="16"/>
      <c r="R14" s="15" t="s">
        <v>64</v>
      </c>
      <c r="S14" s="16"/>
      <c r="AI14" s="4" t="s">
        <v>34</v>
      </c>
      <c r="AK14" s="4" t="s">
        <v>65</v>
      </c>
    </row>
    <row r="15" spans="2:37" x14ac:dyDescent="0.3">
      <c r="B15" s="15" t="s">
        <v>66</v>
      </c>
      <c r="C15" s="16"/>
      <c r="D15" s="15" t="s">
        <v>67</v>
      </c>
      <c r="E15" s="16"/>
      <c r="F15" s="15" t="s">
        <v>68</v>
      </c>
      <c r="G15" s="16"/>
      <c r="H15" s="15" t="s">
        <v>69</v>
      </c>
      <c r="I15" s="16"/>
      <c r="J15" s="15" t="s">
        <v>70</v>
      </c>
      <c r="K15" s="16"/>
      <c r="L15" s="15" t="s">
        <v>71</v>
      </c>
      <c r="M15" s="16"/>
      <c r="N15" s="15" t="s">
        <v>72</v>
      </c>
      <c r="O15" s="16"/>
      <c r="P15" s="15" t="s">
        <v>73</v>
      </c>
      <c r="Q15" s="16"/>
      <c r="R15" s="15" t="s">
        <v>74</v>
      </c>
      <c r="S15" s="16"/>
      <c r="AI15" s="4" t="s">
        <v>32</v>
      </c>
      <c r="AK15" s="4" t="s">
        <v>75</v>
      </c>
    </row>
    <row r="16" spans="2:37" x14ac:dyDescent="0.3">
      <c r="B16" s="15" t="s">
        <v>76</v>
      </c>
      <c r="C16" s="16"/>
      <c r="D16" s="15" t="s">
        <v>77</v>
      </c>
      <c r="E16" s="16"/>
      <c r="F16" s="15" t="s">
        <v>78</v>
      </c>
      <c r="G16" s="16"/>
      <c r="H16" s="15" t="s">
        <v>79</v>
      </c>
      <c r="I16" s="16"/>
      <c r="J16" s="15" t="s">
        <v>80</v>
      </c>
      <c r="K16" s="16"/>
      <c r="L16" s="15" t="s">
        <v>81</v>
      </c>
      <c r="M16" s="16"/>
      <c r="N16" s="15" t="s">
        <v>82</v>
      </c>
      <c r="O16" s="16"/>
      <c r="P16" s="15" t="s">
        <v>83</v>
      </c>
      <c r="Q16" s="16"/>
      <c r="R16" s="15" t="s">
        <v>65</v>
      </c>
      <c r="S16" s="16"/>
      <c r="AI16" s="4" t="s">
        <v>84</v>
      </c>
      <c r="AK16" s="4" t="s">
        <v>43</v>
      </c>
    </row>
    <row r="17" spans="2:37" x14ac:dyDescent="0.3">
      <c r="B17" s="15" t="s">
        <v>85</v>
      </c>
      <c r="C17" s="16"/>
      <c r="D17" s="15"/>
      <c r="E17" s="16"/>
      <c r="F17" s="15" t="s">
        <v>86</v>
      </c>
      <c r="G17" s="16"/>
      <c r="H17" s="15"/>
      <c r="I17" s="16"/>
      <c r="J17" s="15"/>
      <c r="K17" s="16"/>
      <c r="L17" s="15"/>
      <c r="M17" s="16"/>
      <c r="N17" s="15" t="s">
        <v>35</v>
      </c>
      <c r="O17" s="16"/>
      <c r="P17" s="15" t="s">
        <v>87</v>
      </c>
      <c r="Q17" s="16"/>
      <c r="R17" s="15" t="s">
        <v>88</v>
      </c>
      <c r="S17" s="16"/>
      <c r="AI17" s="4" t="s">
        <v>87</v>
      </c>
      <c r="AK17" s="4" t="s">
        <v>42</v>
      </c>
    </row>
    <row r="18" spans="2:37" x14ac:dyDescent="0.3"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</row>
    <row r="20" spans="2:37" x14ac:dyDescent="0.3">
      <c r="B20" s="7" t="s">
        <v>1</v>
      </c>
      <c r="C20" s="8" t="s">
        <v>89</v>
      </c>
      <c r="D20" s="7" t="s">
        <v>1</v>
      </c>
      <c r="E20" s="8" t="s">
        <v>90</v>
      </c>
      <c r="F20" s="7" t="s">
        <v>1</v>
      </c>
      <c r="G20" s="8" t="s">
        <v>91</v>
      </c>
      <c r="H20" s="7" t="s">
        <v>1</v>
      </c>
      <c r="I20" s="8" t="s">
        <v>92</v>
      </c>
      <c r="J20" s="7" t="s">
        <v>1</v>
      </c>
      <c r="K20" s="8" t="s">
        <v>93</v>
      </c>
      <c r="L20" s="7" t="s">
        <v>1</v>
      </c>
      <c r="M20" s="8" t="s">
        <v>94</v>
      </c>
      <c r="N20" s="7" t="s">
        <v>1</v>
      </c>
      <c r="O20" s="8" t="s">
        <v>95</v>
      </c>
      <c r="P20" s="7" t="s">
        <v>1</v>
      </c>
      <c r="Q20" s="8" t="s">
        <v>96</v>
      </c>
      <c r="R20" s="7" t="s">
        <v>1</v>
      </c>
      <c r="S20" s="8" t="s">
        <v>97</v>
      </c>
    </row>
    <row r="21" spans="2:37" x14ac:dyDescent="0.3">
      <c r="B21" s="9" t="s">
        <v>11</v>
      </c>
      <c r="C21" s="10">
        <v>10</v>
      </c>
      <c r="D21" s="9" t="s">
        <v>11</v>
      </c>
      <c r="E21" s="10">
        <v>11</v>
      </c>
      <c r="F21" s="9" t="s">
        <v>11</v>
      </c>
      <c r="G21" s="10">
        <v>12</v>
      </c>
      <c r="H21" s="9" t="s">
        <v>11</v>
      </c>
      <c r="I21" s="10">
        <v>13</v>
      </c>
      <c r="J21" s="9" t="s">
        <v>11</v>
      </c>
      <c r="K21" s="10">
        <v>14</v>
      </c>
      <c r="L21" s="9" t="s">
        <v>11</v>
      </c>
      <c r="M21" s="10">
        <v>15</v>
      </c>
      <c r="N21" s="9" t="s">
        <v>11</v>
      </c>
      <c r="O21" s="10">
        <v>16</v>
      </c>
      <c r="P21" s="9" t="s">
        <v>11</v>
      </c>
      <c r="Q21" s="10">
        <v>17</v>
      </c>
      <c r="R21" s="9" t="s">
        <v>11</v>
      </c>
      <c r="S21" s="10">
        <v>18</v>
      </c>
    </row>
    <row r="22" spans="2:37" x14ac:dyDescent="0.3">
      <c r="B22" s="11" t="s">
        <v>14</v>
      </c>
      <c r="C22" s="12"/>
      <c r="D22" s="11" t="s">
        <v>14</v>
      </c>
      <c r="E22" s="12"/>
      <c r="F22" s="11" t="s">
        <v>14</v>
      </c>
      <c r="G22" s="12"/>
      <c r="H22" s="11" t="s">
        <v>14</v>
      </c>
      <c r="I22" s="12"/>
      <c r="J22" s="11" t="s">
        <v>14</v>
      </c>
      <c r="K22" s="12"/>
      <c r="L22" s="11" t="s">
        <v>14</v>
      </c>
      <c r="M22" s="12"/>
      <c r="N22" s="11"/>
      <c r="O22" s="12"/>
      <c r="P22" s="11"/>
      <c r="Q22" s="12"/>
      <c r="R22" s="11"/>
      <c r="S22" s="12"/>
    </row>
    <row r="23" spans="2:37" x14ac:dyDescent="0.3">
      <c r="B23" s="13" t="s">
        <v>15</v>
      </c>
      <c r="C23" s="14"/>
      <c r="D23" s="13" t="s">
        <v>15</v>
      </c>
      <c r="E23" s="14"/>
      <c r="F23" s="13" t="s">
        <v>15</v>
      </c>
      <c r="G23" s="14"/>
      <c r="H23" s="13" t="s">
        <v>15</v>
      </c>
      <c r="I23" s="14"/>
      <c r="J23" s="13" t="s">
        <v>15</v>
      </c>
      <c r="K23" s="14"/>
      <c r="L23" s="13" t="s">
        <v>15</v>
      </c>
      <c r="M23" s="14"/>
      <c r="N23" s="13" t="s">
        <v>15</v>
      </c>
      <c r="O23" s="14"/>
      <c r="P23" s="13" t="s">
        <v>15</v>
      </c>
      <c r="Q23" s="14"/>
      <c r="R23" s="7" t="s">
        <v>15</v>
      </c>
      <c r="S23" s="14"/>
    </row>
    <row r="24" spans="2:37" x14ac:dyDescent="0.3">
      <c r="B24" s="15" t="s">
        <v>98</v>
      </c>
      <c r="C24" s="16"/>
      <c r="D24" s="15" t="s">
        <v>99</v>
      </c>
      <c r="E24" s="16"/>
      <c r="F24" s="15" t="s">
        <v>100</v>
      </c>
      <c r="G24" s="16"/>
      <c r="H24" s="15" t="s">
        <v>101</v>
      </c>
      <c r="I24" s="16"/>
      <c r="J24" s="15" t="s">
        <v>102</v>
      </c>
      <c r="K24" s="16"/>
      <c r="L24" s="15" t="s">
        <v>103</v>
      </c>
      <c r="M24" s="16"/>
      <c r="N24" s="15"/>
      <c r="O24" s="16"/>
      <c r="P24" s="15"/>
      <c r="Q24" s="18"/>
      <c r="R24" s="19"/>
      <c r="S24" s="20"/>
      <c r="AI24" s="4" t="s">
        <v>101</v>
      </c>
      <c r="AK24" s="4" t="s">
        <v>88</v>
      </c>
    </row>
    <row r="25" spans="2:37" x14ac:dyDescent="0.3">
      <c r="B25" s="15" t="s">
        <v>104</v>
      </c>
      <c r="C25" s="16"/>
      <c r="D25" s="15" t="s">
        <v>57</v>
      </c>
      <c r="E25" s="16"/>
      <c r="F25" s="15" t="s">
        <v>105</v>
      </c>
      <c r="G25" s="16"/>
      <c r="H25" s="15" t="s">
        <v>106</v>
      </c>
      <c r="I25" s="16"/>
      <c r="J25" s="15" t="s">
        <v>75</v>
      </c>
      <c r="K25" s="16"/>
      <c r="L25" s="15" t="s">
        <v>107</v>
      </c>
      <c r="M25" s="16"/>
      <c r="N25" s="15"/>
      <c r="O25" s="16"/>
      <c r="P25" s="15"/>
      <c r="Q25" s="16"/>
      <c r="R25" s="15"/>
      <c r="S25" s="16"/>
      <c r="AI25" s="4" t="s">
        <v>108</v>
      </c>
      <c r="AK25" s="4" t="s">
        <v>109</v>
      </c>
    </row>
    <row r="26" spans="2:37" x14ac:dyDescent="0.3">
      <c r="B26" s="15" t="s">
        <v>110</v>
      </c>
      <c r="C26" s="16"/>
      <c r="D26" s="15" t="s">
        <v>111</v>
      </c>
      <c r="E26" s="16"/>
      <c r="F26" s="15" t="s">
        <v>112</v>
      </c>
      <c r="G26" s="16"/>
      <c r="H26" s="15" t="s">
        <v>113</v>
      </c>
      <c r="I26" s="16"/>
      <c r="J26" s="15" t="s">
        <v>114</v>
      </c>
      <c r="K26" s="16"/>
      <c r="L26" s="15" t="s">
        <v>115</v>
      </c>
      <c r="M26" s="16"/>
      <c r="N26" s="15"/>
      <c r="O26" s="16"/>
      <c r="P26" s="15"/>
      <c r="Q26" s="16"/>
      <c r="R26" s="15"/>
      <c r="S26" s="16"/>
      <c r="AI26" s="4" t="s">
        <v>116</v>
      </c>
      <c r="AK26" s="4" t="s">
        <v>117</v>
      </c>
    </row>
    <row r="27" spans="2:37" x14ac:dyDescent="0.3">
      <c r="B27" s="15" t="s">
        <v>118</v>
      </c>
      <c r="C27" s="16"/>
      <c r="D27" s="15" t="s">
        <v>119</v>
      </c>
      <c r="E27" s="16"/>
      <c r="F27" s="15" t="s">
        <v>120</v>
      </c>
      <c r="G27" s="16"/>
      <c r="H27" s="15" t="s">
        <v>121</v>
      </c>
      <c r="I27" s="16"/>
      <c r="J27" s="15" t="s">
        <v>122</v>
      </c>
      <c r="K27" s="16"/>
      <c r="L27" s="15" t="s">
        <v>123</v>
      </c>
      <c r="M27" s="16"/>
      <c r="N27" s="15"/>
      <c r="O27" s="16"/>
      <c r="P27" s="15"/>
      <c r="Q27" s="16"/>
      <c r="R27" s="15"/>
      <c r="S27" s="16"/>
      <c r="AI27" s="4" t="s">
        <v>124</v>
      </c>
      <c r="AK27" s="4" t="s">
        <v>125</v>
      </c>
    </row>
    <row r="28" spans="2:37" x14ac:dyDescent="0.3">
      <c r="B28" s="15" t="s">
        <v>126</v>
      </c>
      <c r="C28" s="16"/>
      <c r="D28" s="15" t="s">
        <v>127</v>
      </c>
      <c r="E28" s="16"/>
      <c r="F28" s="15" t="s">
        <v>128</v>
      </c>
      <c r="G28" s="16"/>
      <c r="H28" s="15" t="s">
        <v>129</v>
      </c>
      <c r="I28" s="16"/>
      <c r="J28" s="15" t="s">
        <v>130</v>
      </c>
      <c r="K28" s="16"/>
      <c r="L28" s="15" t="s">
        <v>131</v>
      </c>
      <c r="M28" s="16"/>
      <c r="N28" s="15"/>
      <c r="O28" s="16"/>
      <c r="P28" s="15"/>
      <c r="Q28" s="16"/>
      <c r="R28" s="15"/>
      <c r="S28" s="16"/>
      <c r="V28" s="21"/>
      <c r="AI28" s="4" t="s">
        <v>113</v>
      </c>
      <c r="AK28" s="4" t="s">
        <v>132</v>
      </c>
    </row>
    <row r="29" spans="2:37" x14ac:dyDescent="0.3">
      <c r="B29" s="15" t="s">
        <v>46</v>
      </c>
      <c r="C29" s="16"/>
      <c r="D29" s="15" t="s">
        <v>133</v>
      </c>
      <c r="E29" s="16"/>
      <c r="F29" s="15" t="s">
        <v>134</v>
      </c>
      <c r="G29" s="16"/>
      <c r="H29" s="15" t="s">
        <v>135</v>
      </c>
      <c r="I29" s="16"/>
      <c r="J29" s="15" t="s">
        <v>136</v>
      </c>
      <c r="K29" s="16"/>
      <c r="L29" s="15" t="s">
        <v>137</v>
      </c>
      <c r="M29" s="16"/>
      <c r="N29" s="15"/>
      <c r="O29" s="16"/>
      <c r="P29" s="15"/>
      <c r="Q29" s="16"/>
      <c r="R29" s="15"/>
      <c r="S29" s="16"/>
      <c r="AI29" s="4" t="s">
        <v>138</v>
      </c>
      <c r="AK29" s="4" t="s">
        <v>107</v>
      </c>
    </row>
    <row r="30" spans="2:37" x14ac:dyDescent="0.3">
      <c r="B30" s="15" t="s">
        <v>139</v>
      </c>
      <c r="C30" s="16"/>
      <c r="D30" s="15" t="s">
        <v>84</v>
      </c>
      <c r="E30" s="16"/>
      <c r="F30" s="15" t="s">
        <v>140</v>
      </c>
      <c r="G30" s="16"/>
      <c r="H30" s="15" t="s">
        <v>141</v>
      </c>
      <c r="I30" s="16"/>
      <c r="J30" s="15" t="s">
        <v>142</v>
      </c>
      <c r="K30" s="16"/>
      <c r="L30" s="15" t="s">
        <v>143</v>
      </c>
      <c r="M30" s="16"/>
      <c r="N30" s="15"/>
      <c r="O30" s="16"/>
      <c r="P30" s="15"/>
      <c r="Q30" s="16"/>
      <c r="R30" s="15"/>
      <c r="S30" s="16"/>
      <c r="AI30" s="4" t="s">
        <v>144</v>
      </c>
      <c r="AK30" s="4" t="s">
        <v>137</v>
      </c>
    </row>
    <row r="31" spans="2:37" x14ac:dyDescent="0.3">
      <c r="B31" s="15" t="s">
        <v>145</v>
      </c>
      <c r="C31" s="16"/>
      <c r="D31" s="15"/>
      <c r="E31" s="16"/>
      <c r="F31" s="15"/>
      <c r="G31" s="16"/>
      <c r="H31" s="15"/>
      <c r="I31" s="16"/>
      <c r="J31" s="15"/>
      <c r="K31" s="16"/>
      <c r="L31" s="15"/>
      <c r="M31" s="16"/>
      <c r="N31" s="15"/>
      <c r="O31" s="16"/>
      <c r="P31" s="15"/>
      <c r="Q31" s="16"/>
      <c r="R31" s="11"/>
      <c r="S31" s="12"/>
    </row>
    <row r="32" spans="2:37" x14ac:dyDescent="0.3"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</row>
    <row r="33" spans="1:19" x14ac:dyDescent="0.3">
      <c r="S33"/>
    </row>
    <row r="34" spans="1:19" x14ac:dyDescent="0.3">
      <c r="B34" s="7" t="s">
        <v>1</v>
      </c>
      <c r="C34" s="8" t="s">
        <v>146</v>
      </c>
      <c r="D34" s="7" t="s">
        <v>1</v>
      </c>
      <c r="E34" s="8" t="s">
        <v>147</v>
      </c>
      <c r="F34" s="7" t="s">
        <v>1</v>
      </c>
      <c r="G34" s="8" t="s">
        <v>148</v>
      </c>
      <c r="H34" s="7" t="s">
        <v>1</v>
      </c>
      <c r="I34" s="8" t="s">
        <v>149</v>
      </c>
      <c r="J34" s="7" t="s">
        <v>1</v>
      </c>
      <c r="K34" s="8" t="s">
        <v>150</v>
      </c>
      <c r="L34" s="7" t="s">
        <v>1</v>
      </c>
      <c r="M34" s="8" t="s">
        <v>151</v>
      </c>
      <c r="N34" s="7" t="s">
        <v>1</v>
      </c>
      <c r="O34" s="8" t="s">
        <v>152</v>
      </c>
      <c r="P34" s="7" t="s">
        <v>1</v>
      </c>
      <c r="Q34" s="8" t="s">
        <v>153</v>
      </c>
    </row>
    <row r="35" spans="1:19" x14ac:dyDescent="0.3">
      <c r="A35" s="22"/>
      <c r="B35" s="9" t="s">
        <v>11</v>
      </c>
      <c r="C35" s="10">
        <v>19</v>
      </c>
      <c r="D35" s="9" t="s">
        <v>11</v>
      </c>
      <c r="E35" s="10">
        <v>20</v>
      </c>
      <c r="F35" s="9" t="s">
        <v>11</v>
      </c>
      <c r="G35" s="10">
        <v>21</v>
      </c>
      <c r="H35" s="9" t="s">
        <v>11</v>
      </c>
      <c r="I35" s="10">
        <v>22</v>
      </c>
      <c r="J35" s="9" t="s">
        <v>11</v>
      </c>
      <c r="K35" s="10">
        <v>23</v>
      </c>
      <c r="L35" s="9" t="s">
        <v>11</v>
      </c>
      <c r="M35" s="10">
        <v>24</v>
      </c>
      <c r="N35" s="9" t="s">
        <v>11</v>
      </c>
      <c r="O35" s="10">
        <v>25</v>
      </c>
      <c r="P35" s="9" t="s">
        <v>11</v>
      </c>
      <c r="Q35" s="10">
        <v>26</v>
      </c>
    </row>
    <row r="36" spans="1:19" x14ac:dyDescent="0.3">
      <c r="B36" s="11"/>
      <c r="C36" s="12"/>
      <c r="D36" s="11"/>
      <c r="E36" s="12"/>
      <c r="F36" s="11"/>
      <c r="G36" s="12"/>
      <c r="H36" s="11"/>
      <c r="I36" s="12"/>
      <c r="J36" s="11"/>
      <c r="K36" s="12"/>
      <c r="L36" s="11"/>
      <c r="M36" s="12"/>
      <c r="N36" s="11"/>
      <c r="O36" s="12"/>
      <c r="P36" s="11"/>
      <c r="Q36" s="12"/>
    </row>
    <row r="37" spans="1:19" x14ac:dyDescent="0.3">
      <c r="B37" s="13" t="s">
        <v>15</v>
      </c>
      <c r="C37" s="14"/>
      <c r="D37" s="13" t="s">
        <v>15</v>
      </c>
      <c r="E37" s="14"/>
      <c r="F37" s="13" t="s">
        <v>15</v>
      </c>
      <c r="G37" s="14"/>
      <c r="H37" s="13" t="s">
        <v>15</v>
      </c>
      <c r="I37" s="14"/>
      <c r="J37" s="13" t="s">
        <v>15</v>
      </c>
      <c r="K37" s="14"/>
      <c r="L37" s="13" t="s">
        <v>15</v>
      </c>
      <c r="M37" s="14"/>
      <c r="N37" s="13" t="s">
        <v>15</v>
      </c>
      <c r="O37" s="14"/>
      <c r="P37" s="13" t="s">
        <v>15</v>
      </c>
      <c r="Q37" s="14"/>
    </row>
    <row r="38" spans="1:19" x14ac:dyDescent="0.3">
      <c r="B38" s="15"/>
      <c r="C38" s="16"/>
      <c r="D38" s="15"/>
      <c r="E38" s="16"/>
      <c r="F38" s="15"/>
      <c r="G38" s="16"/>
      <c r="H38" s="15"/>
      <c r="I38" s="16"/>
      <c r="J38" s="15"/>
      <c r="K38" s="16"/>
      <c r="L38" s="15"/>
      <c r="M38" s="16"/>
      <c r="N38" s="15"/>
      <c r="O38" s="16"/>
      <c r="P38" s="15"/>
      <c r="Q38" s="16"/>
    </row>
    <row r="39" spans="1:19" x14ac:dyDescent="0.3">
      <c r="B39" s="15"/>
      <c r="C39" s="16"/>
      <c r="D39" s="15"/>
      <c r="E39" s="16"/>
      <c r="F39" s="15"/>
      <c r="G39" s="16"/>
      <c r="H39" s="15"/>
      <c r="I39" s="16"/>
      <c r="J39" s="15"/>
      <c r="K39" s="16"/>
      <c r="L39" s="15"/>
      <c r="M39" s="16"/>
      <c r="N39" s="15"/>
      <c r="O39" s="16"/>
      <c r="P39" s="15"/>
      <c r="Q39" s="16"/>
    </row>
    <row r="40" spans="1:19" x14ac:dyDescent="0.3">
      <c r="B40" s="15"/>
      <c r="C40" s="16"/>
      <c r="D40" s="15"/>
      <c r="E40" s="16"/>
      <c r="F40" s="15"/>
      <c r="G40" s="16"/>
      <c r="H40" s="15"/>
      <c r="I40" s="16"/>
      <c r="J40" s="15"/>
      <c r="K40" s="16"/>
      <c r="L40" s="15"/>
      <c r="M40" s="16"/>
      <c r="N40" s="15"/>
      <c r="O40" s="16"/>
      <c r="P40" s="15"/>
      <c r="Q40" s="16"/>
    </row>
    <row r="41" spans="1:19" x14ac:dyDescent="0.3">
      <c r="B41" s="15"/>
      <c r="C41" s="16"/>
      <c r="D41" s="15"/>
      <c r="E41" s="16"/>
      <c r="F41" s="15"/>
      <c r="G41" s="16"/>
      <c r="H41" s="15"/>
      <c r="I41" s="16"/>
      <c r="J41" s="15"/>
      <c r="K41" s="16"/>
      <c r="L41" s="15"/>
      <c r="M41" s="16"/>
      <c r="N41" s="15"/>
      <c r="O41" s="16"/>
      <c r="P41" s="15"/>
      <c r="Q41" s="16"/>
    </row>
    <row r="42" spans="1:19" x14ac:dyDescent="0.3">
      <c r="B42" s="15"/>
      <c r="C42" s="16"/>
      <c r="D42" s="15"/>
      <c r="E42" s="16"/>
      <c r="F42" s="15"/>
      <c r="G42" s="16"/>
      <c r="H42" s="15"/>
      <c r="I42" s="16"/>
      <c r="J42" s="15"/>
      <c r="K42" s="16"/>
      <c r="L42" s="15"/>
      <c r="M42" s="16"/>
      <c r="N42" s="15"/>
      <c r="O42" s="16"/>
      <c r="P42" s="15"/>
      <c r="Q42" s="16"/>
    </row>
    <row r="43" spans="1:19" x14ac:dyDescent="0.3">
      <c r="B43" s="15"/>
      <c r="C43" s="16"/>
      <c r="D43" s="15"/>
      <c r="E43" s="16"/>
      <c r="F43" s="15"/>
      <c r="G43" s="16"/>
      <c r="H43" s="15"/>
      <c r="I43" s="16"/>
      <c r="J43" s="15"/>
      <c r="K43" s="16"/>
      <c r="L43" s="15"/>
      <c r="M43" s="16"/>
      <c r="N43" s="15"/>
      <c r="O43" s="16"/>
      <c r="P43" s="15"/>
      <c r="Q43" s="16"/>
    </row>
    <row r="44" spans="1:19" x14ac:dyDescent="0.3">
      <c r="B44" s="15"/>
      <c r="C44" s="16"/>
      <c r="D44" s="15"/>
      <c r="E44" s="16"/>
      <c r="F44" s="15"/>
      <c r="G44" s="16"/>
      <c r="H44" s="15"/>
      <c r="I44" s="16"/>
      <c r="J44" s="15"/>
      <c r="K44" s="16"/>
      <c r="L44" s="15"/>
      <c r="M44" s="16"/>
      <c r="N44" s="15"/>
      <c r="O44" s="16"/>
      <c r="P44" s="15"/>
      <c r="Q44" s="16"/>
    </row>
    <row r="45" spans="1:19" x14ac:dyDescent="0.3">
      <c r="B45" s="11"/>
      <c r="C45" s="12"/>
      <c r="D45" s="11"/>
      <c r="E45" s="12"/>
      <c r="F45" s="11"/>
      <c r="G45" s="12"/>
      <c r="H45" s="11"/>
      <c r="I45" s="12"/>
      <c r="J45" s="11"/>
      <c r="K45" s="12"/>
      <c r="L45" s="11"/>
      <c r="M45" s="12"/>
      <c r="N45" s="11"/>
      <c r="O45" s="12"/>
      <c r="P45" s="11"/>
      <c r="Q45" s="12"/>
    </row>
    <row r="47" spans="1:19" x14ac:dyDescent="0.3">
      <c r="B47" s="23"/>
    </row>
    <row r="49" spans="2:18" x14ac:dyDescent="0.3">
      <c r="I49" s="24"/>
      <c r="J49" s="24"/>
    </row>
    <row r="52" spans="2:18" x14ac:dyDescent="0.3">
      <c r="B52" s="24"/>
      <c r="C52" s="24"/>
      <c r="D52" s="24"/>
      <c r="E52" s="24"/>
      <c r="F52" s="24"/>
      <c r="G52" s="24"/>
      <c r="H52" s="24"/>
    </row>
    <row r="58" spans="2:18" x14ac:dyDescent="0.3">
      <c r="I58" s="24"/>
    </row>
    <row r="59" spans="2:18" x14ac:dyDescent="0.3">
      <c r="B59" s="24"/>
      <c r="C59" s="24"/>
      <c r="D59" s="24"/>
      <c r="E59" s="24"/>
      <c r="F59" s="24"/>
      <c r="G59" s="24"/>
      <c r="H59" s="24"/>
    </row>
    <row r="62" spans="2:18" x14ac:dyDescent="0.3">
      <c r="M62" s="25"/>
      <c r="N62" s="25"/>
      <c r="O62" s="25"/>
      <c r="P62" s="25"/>
      <c r="R62" s="25"/>
    </row>
    <row r="66" spans="10:11" x14ac:dyDescent="0.3">
      <c r="J66" s="26"/>
      <c r="K66" s="26"/>
    </row>
    <row r="67" spans="10:11" x14ac:dyDescent="0.3">
      <c r="J67" s="26"/>
      <c r="K67" s="26"/>
    </row>
    <row r="69" spans="10:11" x14ac:dyDescent="0.3">
      <c r="J69" s="26"/>
      <c r="K69" s="26"/>
    </row>
  </sheetData>
  <mergeCells count="1">
    <mergeCell ref="D3:F3"/>
  </mergeCells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E8349-5486-4E48-B8E7-3D1AC386B301}">
  <sheetPr codeName="Sheet1"/>
  <dimension ref="A1:AI34"/>
  <sheetViews>
    <sheetView topLeftCell="C1" workbookViewId="0">
      <selection activeCell="D32" sqref="D32:F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8.109375" customWidth="1"/>
    <col min="5" max="5" width="7.88671875" customWidth="1"/>
    <col min="6" max="6" width="9.5546875" customWidth="1"/>
    <col min="7" max="7" width="9.6640625" customWidth="1"/>
    <col min="8" max="8" width="2.6640625" customWidth="1"/>
    <col min="9" max="23" width="3.6640625" customWidth="1"/>
    <col min="24" max="24" width="4" customWidth="1"/>
    <col min="25" max="35" width="3.6640625" customWidth="1"/>
  </cols>
  <sheetData>
    <row r="1" spans="1:35" x14ac:dyDescent="0.25">
      <c r="I1" s="27" t="s">
        <v>154</v>
      </c>
      <c r="J1" s="27"/>
      <c r="K1" s="27"/>
      <c r="L1" s="27"/>
      <c r="M1" s="27"/>
      <c r="N1" s="27"/>
      <c r="O1" s="27" t="s">
        <v>155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 t="s">
        <v>156</v>
      </c>
    </row>
    <row r="2" spans="1:35" s="27" customFormat="1" x14ac:dyDescent="0.25">
      <c r="A2" s="28" t="s">
        <v>157</v>
      </c>
      <c r="B2" s="29" t="s">
        <v>158</v>
      </c>
      <c r="C2" s="29" t="s">
        <v>159</v>
      </c>
      <c r="D2" s="30" t="s">
        <v>156</v>
      </c>
      <c r="E2" s="30" t="s">
        <v>155</v>
      </c>
      <c r="F2" s="31" t="s">
        <v>154</v>
      </c>
      <c r="G2" s="32" t="s">
        <v>160</v>
      </c>
      <c r="H2" s="33"/>
      <c r="I2" s="34" t="s">
        <v>161</v>
      </c>
      <c r="J2" s="34" t="s">
        <v>162</v>
      </c>
      <c r="K2" s="34" t="s">
        <v>163</v>
      </c>
      <c r="L2" s="34" t="s">
        <v>164</v>
      </c>
      <c r="M2" s="34" t="s">
        <v>165</v>
      </c>
      <c r="O2" s="34" t="s">
        <v>166</v>
      </c>
      <c r="P2" s="34" t="s">
        <v>167</v>
      </c>
      <c r="Q2" s="34" t="s">
        <v>168</v>
      </c>
      <c r="R2" s="34" t="s">
        <v>169</v>
      </c>
      <c r="S2" s="34" t="s">
        <v>170</v>
      </c>
      <c r="T2" s="34" t="s">
        <v>171</v>
      </c>
      <c r="U2" s="34" t="s">
        <v>172</v>
      </c>
      <c r="V2" s="34" t="s">
        <v>173</v>
      </c>
      <c r="W2" s="34" t="s">
        <v>174</v>
      </c>
      <c r="X2" s="34" t="s">
        <v>175</v>
      </c>
      <c r="Z2" s="34" t="s">
        <v>176</v>
      </c>
      <c r="AA2" s="34" t="s">
        <v>177</v>
      </c>
      <c r="AB2" s="34" t="s">
        <v>178</v>
      </c>
      <c r="AC2" s="34" t="s">
        <v>179</v>
      </c>
      <c r="AD2" s="34" t="s">
        <v>180</v>
      </c>
      <c r="AE2" s="34" t="s">
        <v>181</v>
      </c>
      <c r="AF2" s="34" t="s">
        <v>182</v>
      </c>
      <c r="AG2" s="34" t="s">
        <v>183</v>
      </c>
      <c r="AH2" s="34" t="s">
        <v>184</v>
      </c>
      <c r="AI2" s="34" t="s">
        <v>185</v>
      </c>
    </row>
    <row r="3" spans="1:35" x14ac:dyDescent="0.25">
      <c r="A3" s="35">
        <v>1</v>
      </c>
      <c r="B3" s="36" t="s">
        <v>186</v>
      </c>
      <c r="C3" s="36" t="s">
        <v>187</v>
      </c>
      <c r="D3" s="37">
        <v>4</v>
      </c>
      <c r="E3" s="37">
        <v>2</v>
      </c>
      <c r="F3" s="37"/>
      <c r="G3" s="38">
        <f>SUM(D3:F3)</f>
        <v>6</v>
      </c>
      <c r="H3" s="39"/>
      <c r="I3" t="str">
        <f>IF(AND($F3&lt;&gt;"",$F3&gt;=1),"G1","")</f>
        <v/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>M2</v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>J2</v>
      </c>
      <c r="AB3" t="str">
        <f>IF(AND($D3&lt;&gt;"",$D3&gt;=3),"J3","")</f>
        <v>J3</v>
      </c>
      <c r="AC3" t="str">
        <f>IF(AND($D3&lt;&gt;"",$D3&gt;=4),"J4","")</f>
        <v>J4</v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5">
      <c r="A4" s="40">
        <v>2</v>
      </c>
      <c r="B4" s="41" t="s">
        <v>188</v>
      </c>
      <c r="C4" s="41" t="s">
        <v>189</v>
      </c>
      <c r="D4" s="42">
        <v>1</v>
      </c>
      <c r="E4" s="42"/>
      <c r="F4" s="42">
        <v>1</v>
      </c>
      <c r="G4" s="43">
        <f t="shared" ref="G4:G31" si="0">SUM(D4:F4)</f>
        <v>2</v>
      </c>
      <c r="H4" s="39"/>
      <c r="I4" s="44" t="str">
        <f t="shared" ref="I4:I32" si="1">IF(AND($F4&lt;&gt;"",$F4&gt;=1),"G1","")</f>
        <v>G1</v>
      </c>
      <c r="J4" s="44" t="str">
        <f t="shared" ref="J4:J32" si="2">IF(AND($F4&lt;&gt;"",$F4&gt;=2),"G2","")</f>
        <v/>
      </c>
      <c r="K4" s="44" t="str">
        <f t="shared" ref="K4:K32" si="3">IF(AND($F4&lt;&gt;"",$F4&gt;=3),"G3","")</f>
        <v/>
      </c>
      <c r="L4" s="44" t="str">
        <f t="shared" ref="L4:L32" si="4">IF(AND($F4&lt;&gt;"",$F4&gt;=4),"G4","")</f>
        <v/>
      </c>
      <c r="M4" s="44" t="str">
        <f t="shared" ref="M4:M32" si="5">IF(AND($F4&lt;&gt;"",$F4&gt;=5),"G5","")</f>
        <v/>
      </c>
      <c r="O4" s="44" t="str">
        <f t="shared" ref="O4:O32" si="6">IF(AND($E4&lt;&gt;"",$E4&gt;=1),"M1","")</f>
        <v/>
      </c>
      <c r="P4" s="44" t="str">
        <f t="shared" ref="P4:P32" si="7">IF(AND($E4&lt;&gt;"",$E4&gt;=2),"M2","")</f>
        <v/>
      </c>
      <c r="Q4" s="44" t="str">
        <f t="shared" ref="Q4:Q32" si="8">IF(AND($E4&lt;&gt;"",$E4&gt;=3),"M3","")</f>
        <v/>
      </c>
      <c r="R4" s="44" t="str">
        <f t="shared" ref="R4:R32" si="9">IF(AND($E4&lt;&gt;"",$E4&gt;=4),"M4","")</f>
        <v/>
      </c>
      <c r="S4" s="44" t="str">
        <f t="shared" ref="S4:S32" si="10">IF(AND($E4&lt;&gt;"",$E4&gt;=5),"M5","")</f>
        <v/>
      </c>
      <c r="T4" s="44" t="str">
        <f t="shared" ref="T4:T32" si="11">IF(AND($E4&lt;&gt;"",$E4&gt;=6),"M6","")</f>
        <v/>
      </c>
      <c r="U4" s="44" t="str">
        <f t="shared" ref="U4:U32" si="12">IF(AND($E4&lt;&gt;"",$E4&gt;=7),"M7","")</f>
        <v/>
      </c>
      <c r="V4" s="44" t="str">
        <f t="shared" ref="V4:V32" si="13">IF(AND($E4&lt;&gt;"",$E4&gt;=8),"M8","")</f>
        <v/>
      </c>
      <c r="W4" s="44" t="str">
        <f t="shared" ref="W4:W32" si="14">IF(AND($E4&lt;&gt;"",$E4&gt;=9),"M9","")</f>
        <v/>
      </c>
      <c r="X4" s="44" t="str">
        <f t="shared" ref="X4:X32" si="15">IF(AND($E4&lt;&gt;"",$E4&gt;=10),"M10","")</f>
        <v/>
      </c>
      <c r="Z4" s="44" t="str">
        <f t="shared" ref="Z4:Z32" si="16">IF(AND($D4&lt;&gt;"",$D4&gt;=1),"J1","")</f>
        <v>J1</v>
      </c>
      <c r="AA4" s="44" t="str">
        <f t="shared" ref="AA4:AA32" si="17">IF(AND($D4&lt;&gt;"",$D4&gt;=2),"J2","")</f>
        <v/>
      </c>
      <c r="AB4" s="44" t="str">
        <f t="shared" ref="AB4:AB32" si="18">IF(AND($D4&lt;&gt;"",$D4&gt;=3),"J3","")</f>
        <v/>
      </c>
      <c r="AC4" s="44" t="str">
        <f t="shared" ref="AC4:AC32" si="19">IF(AND($D4&lt;&gt;"",$D4&gt;=4),"J4","")</f>
        <v/>
      </c>
      <c r="AD4" s="44" t="str">
        <f t="shared" ref="AD4:AD32" si="20">IF(AND($D4&lt;&gt;"",$D4&gt;=5),"J5","")</f>
        <v/>
      </c>
      <c r="AE4" s="44" t="str">
        <f t="shared" ref="AE4:AE32" si="21">IF(AND($D4&lt;&gt;"",$D4&gt;=6),"J6","")</f>
        <v/>
      </c>
      <c r="AF4" s="44" t="str">
        <f t="shared" ref="AF4:AF32" si="22">IF(AND($D4&lt;&gt;"",$D4&gt;=7),"J7","")</f>
        <v/>
      </c>
      <c r="AG4" s="44" t="str">
        <f t="shared" ref="AG4:AG32" si="23">IF(AND($D4&lt;&gt;"",$D4&gt;=8),"J8","")</f>
        <v/>
      </c>
      <c r="AH4" s="44" t="str">
        <f t="shared" ref="AH4:AH32" si="24">IF(AND($D4&lt;&gt;"",$D4&gt;=9),"J9","")</f>
        <v/>
      </c>
      <c r="AI4" s="44" t="str">
        <f t="shared" ref="AI4:AI32" si="25">IF(AND($D4&lt;&gt;"",$D4&gt;=10),"J10","")</f>
        <v/>
      </c>
    </row>
    <row r="5" spans="1:35" x14ac:dyDescent="0.25">
      <c r="A5" s="35">
        <v>3</v>
      </c>
      <c r="B5" s="36" t="s">
        <v>190</v>
      </c>
      <c r="C5" s="36" t="s">
        <v>191</v>
      </c>
      <c r="D5" s="37">
        <v>3</v>
      </c>
      <c r="E5" s="37"/>
      <c r="F5" s="37"/>
      <c r="G5" s="38">
        <f t="shared" si="0"/>
        <v>3</v>
      </c>
      <c r="H5" s="39"/>
      <c r="I5" t="str">
        <f t="shared" si="1"/>
        <v/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/>
      </c>
      <c r="P5" t="str">
        <f t="shared" si="7"/>
        <v/>
      </c>
      <c r="Q5" t="str">
        <f t="shared" si="8"/>
        <v/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/>
      </c>
      <c r="AD5" t="str">
        <f t="shared" si="20"/>
        <v/>
      </c>
      <c r="AE5" t="str">
        <f t="shared" si="21"/>
        <v/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5">
      <c r="A6" s="40">
        <v>4</v>
      </c>
      <c r="B6" s="41" t="s">
        <v>192</v>
      </c>
      <c r="C6" s="41" t="s">
        <v>193</v>
      </c>
      <c r="D6" s="42">
        <v>1</v>
      </c>
      <c r="E6" s="42">
        <v>1</v>
      </c>
      <c r="F6" s="42">
        <v>2</v>
      </c>
      <c r="G6" s="43">
        <f t="shared" si="0"/>
        <v>4</v>
      </c>
      <c r="H6" s="39"/>
      <c r="I6" s="44" t="str">
        <f t="shared" si="1"/>
        <v>G1</v>
      </c>
      <c r="J6" s="44" t="str">
        <f t="shared" si="2"/>
        <v>G2</v>
      </c>
      <c r="K6" s="44" t="str">
        <f t="shared" si="3"/>
        <v/>
      </c>
      <c r="L6" s="44" t="str">
        <f t="shared" si="4"/>
        <v/>
      </c>
      <c r="M6" s="44" t="str">
        <f t="shared" si="5"/>
        <v/>
      </c>
      <c r="O6" s="44" t="str">
        <f t="shared" si="6"/>
        <v>M1</v>
      </c>
      <c r="P6" s="44" t="str">
        <f t="shared" si="7"/>
        <v/>
      </c>
      <c r="Q6" s="44" t="str">
        <f t="shared" si="8"/>
        <v/>
      </c>
      <c r="R6" s="44" t="str">
        <f t="shared" si="9"/>
        <v/>
      </c>
      <c r="S6" s="44" t="str">
        <f t="shared" si="10"/>
        <v/>
      </c>
      <c r="T6" s="44" t="str">
        <f t="shared" si="11"/>
        <v/>
      </c>
      <c r="U6" s="44" t="str">
        <f t="shared" si="12"/>
        <v/>
      </c>
      <c r="V6" s="44" t="str">
        <f t="shared" si="13"/>
        <v/>
      </c>
      <c r="W6" s="44" t="str">
        <f t="shared" si="14"/>
        <v/>
      </c>
      <c r="X6" s="44" t="str">
        <f t="shared" si="15"/>
        <v/>
      </c>
      <c r="Z6" s="44" t="str">
        <f t="shared" si="16"/>
        <v>J1</v>
      </c>
      <c r="AA6" s="44" t="str">
        <f t="shared" si="17"/>
        <v/>
      </c>
      <c r="AB6" s="44" t="str">
        <f t="shared" si="18"/>
        <v/>
      </c>
      <c r="AC6" s="44" t="str">
        <f t="shared" si="19"/>
        <v/>
      </c>
      <c r="AD6" s="44" t="str">
        <f t="shared" si="20"/>
        <v/>
      </c>
      <c r="AE6" s="44" t="str">
        <f t="shared" si="21"/>
        <v/>
      </c>
      <c r="AF6" s="44" t="str">
        <f t="shared" si="22"/>
        <v/>
      </c>
      <c r="AG6" s="44" t="str">
        <f t="shared" si="23"/>
        <v/>
      </c>
      <c r="AH6" s="44" t="str">
        <f t="shared" si="24"/>
        <v/>
      </c>
      <c r="AI6" s="44" t="str">
        <f t="shared" si="25"/>
        <v/>
      </c>
    </row>
    <row r="7" spans="1:35" x14ac:dyDescent="0.25">
      <c r="A7" s="35">
        <v>5</v>
      </c>
      <c r="B7" s="36" t="s">
        <v>194</v>
      </c>
      <c r="C7" s="36" t="s">
        <v>195</v>
      </c>
      <c r="D7" s="37">
        <v>2</v>
      </c>
      <c r="E7" s="37">
        <v>1</v>
      </c>
      <c r="F7" s="37"/>
      <c r="G7" s="38">
        <f t="shared" si="0"/>
        <v>3</v>
      </c>
      <c r="H7" s="39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>J2</v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5">
      <c r="A8" s="40">
        <v>6</v>
      </c>
      <c r="B8" s="41" t="s">
        <v>196</v>
      </c>
      <c r="C8" s="41" t="s">
        <v>197</v>
      </c>
      <c r="D8" s="42">
        <v>1</v>
      </c>
      <c r="E8" s="42"/>
      <c r="F8" s="42"/>
      <c r="G8" s="43">
        <f t="shared" si="0"/>
        <v>1</v>
      </c>
      <c r="H8" s="39"/>
      <c r="I8" s="44" t="str">
        <f t="shared" si="1"/>
        <v/>
      </c>
      <c r="J8" s="44" t="str">
        <f t="shared" si="2"/>
        <v/>
      </c>
      <c r="K8" s="44" t="str">
        <f t="shared" si="3"/>
        <v/>
      </c>
      <c r="L8" s="44" t="str">
        <f t="shared" si="4"/>
        <v/>
      </c>
      <c r="M8" s="44" t="str">
        <f t="shared" si="5"/>
        <v/>
      </c>
      <c r="O8" s="44" t="str">
        <f t="shared" si="6"/>
        <v/>
      </c>
      <c r="P8" s="44" t="str">
        <f t="shared" si="7"/>
        <v/>
      </c>
      <c r="Q8" s="44" t="str">
        <f t="shared" si="8"/>
        <v/>
      </c>
      <c r="R8" s="44" t="str">
        <f t="shared" si="9"/>
        <v/>
      </c>
      <c r="S8" s="44" t="str">
        <f t="shared" si="10"/>
        <v/>
      </c>
      <c r="T8" s="44" t="str">
        <f t="shared" si="11"/>
        <v/>
      </c>
      <c r="U8" s="44" t="str">
        <f t="shared" si="12"/>
        <v/>
      </c>
      <c r="V8" s="44" t="str">
        <f t="shared" si="13"/>
        <v/>
      </c>
      <c r="W8" s="44" t="str">
        <f t="shared" si="14"/>
        <v/>
      </c>
      <c r="X8" s="44" t="str">
        <f t="shared" si="15"/>
        <v/>
      </c>
      <c r="Z8" s="44" t="str">
        <f t="shared" si="16"/>
        <v>J1</v>
      </c>
      <c r="AA8" s="44" t="str">
        <f t="shared" si="17"/>
        <v/>
      </c>
      <c r="AB8" s="44" t="str">
        <f t="shared" si="18"/>
        <v/>
      </c>
      <c r="AC8" s="44" t="str">
        <f t="shared" si="19"/>
        <v/>
      </c>
      <c r="AD8" s="44" t="str">
        <f t="shared" si="20"/>
        <v/>
      </c>
      <c r="AE8" s="44" t="str">
        <f t="shared" si="21"/>
        <v/>
      </c>
      <c r="AF8" s="44" t="str">
        <f t="shared" si="22"/>
        <v/>
      </c>
      <c r="AG8" s="44" t="str">
        <f t="shared" si="23"/>
        <v/>
      </c>
      <c r="AH8" s="44" t="str">
        <f t="shared" si="24"/>
        <v/>
      </c>
      <c r="AI8" s="44" t="str">
        <f t="shared" si="25"/>
        <v/>
      </c>
    </row>
    <row r="9" spans="1:35" x14ac:dyDescent="0.25">
      <c r="A9" s="35">
        <v>7</v>
      </c>
      <c r="B9" s="36" t="s">
        <v>198</v>
      </c>
      <c r="C9" s="36" t="s">
        <v>199</v>
      </c>
      <c r="D9" s="37">
        <v>3</v>
      </c>
      <c r="E9" s="37"/>
      <c r="F9" s="37"/>
      <c r="G9" s="38">
        <f t="shared" si="0"/>
        <v>3</v>
      </c>
      <c r="H9" s="39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/>
      </c>
      <c r="P9" t="str">
        <f t="shared" si="7"/>
        <v/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>J3</v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5">
      <c r="A10" s="40">
        <v>8</v>
      </c>
      <c r="B10" s="41" t="s">
        <v>200</v>
      </c>
      <c r="C10" s="41" t="s">
        <v>201</v>
      </c>
      <c r="D10" s="42"/>
      <c r="E10" s="42"/>
      <c r="F10" s="42">
        <v>1</v>
      </c>
      <c r="G10" s="43">
        <f t="shared" si="0"/>
        <v>1</v>
      </c>
      <c r="H10" s="39"/>
      <c r="I10" s="44" t="str">
        <f t="shared" si="1"/>
        <v>G1</v>
      </c>
      <c r="J10" s="44" t="str">
        <f t="shared" si="2"/>
        <v/>
      </c>
      <c r="K10" s="44" t="str">
        <f t="shared" si="3"/>
        <v/>
      </c>
      <c r="L10" s="44" t="str">
        <f t="shared" si="4"/>
        <v/>
      </c>
      <c r="M10" s="44" t="str">
        <f t="shared" si="5"/>
        <v/>
      </c>
      <c r="O10" s="44" t="str">
        <f t="shared" si="6"/>
        <v/>
      </c>
      <c r="P10" s="44" t="str">
        <f t="shared" si="7"/>
        <v/>
      </c>
      <c r="Q10" s="44" t="str">
        <f t="shared" si="8"/>
        <v/>
      </c>
      <c r="R10" s="44" t="str">
        <f t="shared" si="9"/>
        <v/>
      </c>
      <c r="S10" s="44" t="str">
        <f t="shared" si="10"/>
        <v/>
      </c>
      <c r="T10" s="44" t="str">
        <f t="shared" si="11"/>
        <v/>
      </c>
      <c r="U10" s="44" t="str">
        <f t="shared" si="12"/>
        <v/>
      </c>
      <c r="V10" s="44" t="str">
        <f t="shared" si="13"/>
        <v/>
      </c>
      <c r="W10" s="44" t="str">
        <f t="shared" si="14"/>
        <v/>
      </c>
      <c r="X10" s="44" t="str">
        <f t="shared" si="15"/>
        <v/>
      </c>
      <c r="Z10" s="44" t="str">
        <f t="shared" si="16"/>
        <v/>
      </c>
      <c r="AA10" s="44" t="str">
        <f t="shared" si="17"/>
        <v/>
      </c>
      <c r="AB10" s="44" t="str">
        <f t="shared" si="18"/>
        <v/>
      </c>
      <c r="AC10" s="44" t="str">
        <f t="shared" si="19"/>
        <v/>
      </c>
      <c r="AD10" s="44" t="str">
        <f t="shared" si="20"/>
        <v/>
      </c>
      <c r="AE10" s="44" t="str">
        <f t="shared" si="21"/>
        <v/>
      </c>
      <c r="AF10" s="44" t="str">
        <f t="shared" si="22"/>
        <v/>
      </c>
      <c r="AG10" s="44" t="str">
        <f t="shared" si="23"/>
        <v/>
      </c>
      <c r="AH10" s="44" t="str">
        <f t="shared" si="24"/>
        <v/>
      </c>
      <c r="AI10" s="44" t="str">
        <f t="shared" si="25"/>
        <v/>
      </c>
    </row>
    <row r="11" spans="1:35" x14ac:dyDescent="0.25">
      <c r="A11" s="35">
        <v>9</v>
      </c>
      <c r="B11" s="36" t="s">
        <v>202</v>
      </c>
      <c r="C11" s="36" t="s">
        <v>203</v>
      </c>
      <c r="D11" s="37"/>
      <c r="E11" s="37"/>
      <c r="F11" s="37">
        <v>1</v>
      </c>
      <c r="G11" s="38">
        <f t="shared" si="0"/>
        <v>1</v>
      </c>
      <c r="H11" s="39"/>
      <c r="I11" t="str">
        <f t="shared" si="1"/>
        <v>G1</v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/>
      </c>
      <c r="AA11" t="str">
        <f t="shared" si="17"/>
        <v/>
      </c>
      <c r="AB11" t="str">
        <f t="shared" si="18"/>
        <v/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5">
      <c r="A12" s="40">
        <v>10</v>
      </c>
      <c r="B12" s="41" t="s">
        <v>204</v>
      </c>
      <c r="C12" s="41" t="s">
        <v>205</v>
      </c>
      <c r="D12" s="42"/>
      <c r="E12" s="42"/>
      <c r="F12" s="42">
        <v>2</v>
      </c>
      <c r="G12" s="43">
        <f t="shared" si="0"/>
        <v>2</v>
      </c>
      <c r="H12" s="39"/>
      <c r="I12" s="44" t="str">
        <f t="shared" si="1"/>
        <v>G1</v>
      </c>
      <c r="J12" s="44" t="str">
        <f t="shared" si="2"/>
        <v>G2</v>
      </c>
      <c r="K12" s="44" t="str">
        <f t="shared" si="3"/>
        <v/>
      </c>
      <c r="L12" s="44" t="str">
        <f t="shared" si="4"/>
        <v/>
      </c>
      <c r="M12" s="44" t="str">
        <f t="shared" si="5"/>
        <v/>
      </c>
      <c r="O12" s="44" t="str">
        <f t="shared" si="6"/>
        <v/>
      </c>
      <c r="P12" s="44" t="str">
        <f t="shared" si="7"/>
        <v/>
      </c>
      <c r="Q12" s="44" t="str">
        <f t="shared" si="8"/>
        <v/>
      </c>
      <c r="R12" s="44" t="str">
        <f t="shared" si="9"/>
        <v/>
      </c>
      <c r="S12" s="44" t="str">
        <f t="shared" si="10"/>
        <v/>
      </c>
      <c r="T12" s="44" t="str">
        <f t="shared" si="11"/>
        <v/>
      </c>
      <c r="U12" s="44" t="str">
        <f t="shared" si="12"/>
        <v/>
      </c>
      <c r="V12" s="44" t="str">
        <f t="shared" si="13"/>
        <v/>
      </c>
      <c r="W12" s="44" t="str">
        <f t="shared" si="14"/>
        <v/>
      </c>
      <c r="X12" s="44" t="str">
        <f t="shared" si="15"/>
        <v/>
      </c>
      <c r="Z12" s="44" t="str">
        <f t="shared" si="16"/>
        <v/>
      </c>
      <c r="AA12" s="44" t="str">
        <f t="shared" si="17"/>
        <v/>
      </c>
      <c r="AB12" s="44" t="str">
        <f t="shared" si="18"/>
        <v/>
      </c>
      <c r="AC12" s="44" t="str">
        <f t="shared" si="19"/>
        <v/>
      </c>
      <c r="AD12" s="44" t="str">
        <f t="shared" si="20"/>
        <v/>
      </c>
      <c r="AE12" s="44" t="str">
        <f t="shared" si="21"/>
        <v/>
      </c>
      <c r="AF12" s="44" t="str">
        <f t="shared" si="22"/>
        <v/>
      </c>
      <c r="AG12" s="44" t="str">
        <f t="shared" si="23"/>
        <v/>
      </c>
      <c r="AH12" s="44" t="str">
        <f t="shared" si="24"/>
        <v/>
      </c>
      <c r="AI12" s="44" t="str">
        <f t="shared" si="25"/>
        <v/>
      </c>
    </row>
    <row r="13" spans="1:35" x14ac:dyDescent="0.25">
      <c r="A13" s="35">
        <v>11</v>
      </c>
      <c r="B13" s="36" t="s">
        <v>206</v>
      </c>
      <c r="C13" s="36" t="s">
        <v>207</v>
      </c>
      <c r="D13" s="37">
        <v>3</v>
      </c>
      <c r="E13" s="37"/>
      <c r="F13" s="37"/>
      <c r="G13" s="38">
        <f t="shared" si="0"/>
        <v>3</v>
      </c>
      <c r="H13" s="39"/>
      <c r="I13" t="str">
        <f t="shared" si="1"/>
        <v/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5">
      <c r="A14" s="40">
        <v>12</v>
      </c>
      <c r="B14" s="41" t="s">
        <v>208</v>
      </c>
      <c r="C14" s="41" t="s">
        <v>209</v>
      </c>
      <c r="D14" s="42">
        <v>3</v>
      </c>
      <c r="E14" s="42"/>
      <c r="F14" s="42">
        <v>3</v>
      </c>
      <c r="G14" s="43">
        <f t="shared" si="0"/>
        <v>6</v>
      </c>
      <c r="H14" s="39"/>
      <c r="I14" s="44" t="str">
        <f t="shared" si="1"/>
        <v>G1</v>
      </c>
      <c r="J14" s="44" t="str">
        <f t="shared" si="2"/>
        <v>G2</v>
      </c>
      <c r="K14" s="44" t="str">
        <f t="shared" si="3"/>
        <v>G3</v>
      </c>
      <c r="L14" s="44" t="str">
        <f t="shared" si="4"/>
        <v/>
      </c>
      <c r="M14" s="44" t="str">
        <f t="shared" si="5"/>
        <v/>
      </c>
      <c r="O14" s="44" t="str">
        <f t="shared" si="6"/>
        <v/>
      </c>
      <c r="P14" s="44" t="str">
        <f t="shared" si="7"/>
        <v/>
      </c>
      <c r="Q14" s="44" t="str">
        <f t="shared" si="8"/>
        <v/>
      </c>
      <c r="R14" s="44" t="str">
        <f t="shared" si="9"/>
        <v/>
      </c>
      <c r="S14" s="44" t="str">
        <f t="shared" si="10"/>
        <v/>
      </c>
      <c r="T14" s="44" t="str">
        <f t="shared" si="11"/>
        <v/>
      </c>
      <c r="U14" s="44" t="str">
        <f t="shared" si="12"/>
        <v/>
      </c>
      <c r="V14" s="44" t="str">
        <f t="shared" si="13"/>
        <v/>
      </c>
      <c r="W14" s="44" t="str">
        <f t="shared" si="14"/>
        <v/>
      </c>
      <c r="X14" s="44" t="str">
        <f t="shared" si="15"/>
        <v/>
      </c>
      <c r="Z14" s="44" t="str">
        <f t="shared" si="16"/>
        <v>J1</v>
      </c>
      <c r="AA14" s="44" t="str">
        <f t="shared" si="17"/>
        <v>J2</v>
      </c>
      <c r="AB14" s="44" t="str">
        <f t="shared" si="18"/>
        <v>J3</v>
      </c>
      <c r="AC14" s="44" t="str">
        <f t="shared" si="19"/>
        <v/>
      </c>
      <c r="AD14" s="44" t="str">
        <f t="shared" si="20"/>
        <v/>
      </c>
      <c r="AE14" s="44" t="str">
        <f t="shared" si="21"/>
        <v/>
      </c>
      <c r="AF14" s="44" t="str">
        <f t="shared" si="22"/>
        <v/>
      </c>
      <c r="AG14" s="44" t="str">
        <f t="shared" si="23"/>
        <v/>
      </c>
      <c r="AH14" s="44" t="str">
        <f t="shared" si="24"/>
        <v/>
      </c>
      <c r="AI14" s="44" t="str">
        <f t="shared" si="25"/>
        <v/>
      </c>
    </row>
    <row r="15" spans="1:35" x14ac:dyDescent="0.25">
      <c r="A15" s="35">
        <v>13</v>
      </c>
      <c r="B15" s="36" t="s">
        <v>210</v>
      </c>
      <c r="C15" s="45" t="s">
        <v>211</v>
      </c>
      <c r="D15" s="37">
        <v>3</v>
      </c>
      <c r="E15" s="37"/>
      <c r="F15" s="37">
        <v>3</v>
      </c>
      <c r="G15" s="38">
        <f t="shared" si="0"/>
        <v>6</v>
      </c>
      <c r="H15" s="39"/>
      <c r="I15" t="str">
        <f t="shared" si="1"/>
        <v>G1</v>
      </c>
      <c r="J15" t="str">
        <f t="shared" si="2"/>
        <v>G2</v>
      </c>
      <c r="K15" t="str">
        <f t="shared" si="3"/>
        <v>G3</v>
      </c>
      <c r="L15" t="str">
        <f t="shared" si="4"/>
        <v/>
      </c>
      <c r="M15" t="str">
        <f t="shared" si="5"/>
        <v/>
      </c>
      <c r="O15" t="str">
        <f t="shared" si="6"/>
        <v/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/>
      </c>
      <c r="AD15" t="str">
        <f t="shared" si="20"/>
        <v/>
      </c>
      <c r="AE15" t="str">
        <f t="shared" si="21"/>
        <v/>
      </c>
      <c r="AF15" t="str">
        <f t="shared" si="22"/>
        <v/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5">
      <c r="A16" s="40">
        <v>14</v>
      </c>
      <c r="B16" s="41" t="s">
        <v>212</v>
      </c>
      <c r="C16" s="41" t="s">
        <v>213</v>
      </c>
      <c r="D16" s="42">
        <v>5</v>
      </c>
      <c r="E16" s="42"/>
      <c r="F16" s="42">
        <v>3</v>
      </c>
      <c r="G16" s="43">
        <f t="shared" si="0"/>
        <v>8</v>
      </c>
      <c r="H16" s="39"/>
      <c r="I16" s="44" t="str">
        <f t="shared" si="1"/>
        <v>G1</v>
      </c>
      <c r="J16" s="44" t="str">
        <f t="shared" si="2"/>
        <v>G2</v>
      </c>
      <c r="K16" s="44" t="str">
        <f t="shared" si="3"/>
        <v>G3</v>
      </c>
      <c r="L16" s="44" t="str">
        <f t="shared" si="4"/>
        <v/>
      </c>
      <c r="M16" s="44" t="str">
        <f t="shared" si="5"/>
        <v/>
      </c>
      <c r="O16" s="44" t="str">
        <f t="shared" si="6"/>
        <v/>
      </c>
      <c r="P16" s="44" t="str">
        <f t="shared" si="7"/>
        <v/>
      </c>
      <c r="Q16" s="44" t="str">
        <f t="shared" si="8"/>
        <v/>
      </c>
      <c r="R16" s="44" t="str">
        <f t="shared" si="9"/>
        <v/>
      </c>
      <c r="S16" s="44" t="str">
        <f t="shared" si="10"/>
        <v/>
      </c>
      <c r="T16" s="44" t="str">
        <f t="shared" si="11"/>
        <v/>
      </c>
      <c r="U16" s="44" t="str">
        <f t="shared" si="12"/>
        <v/>
      </c>
      <c r="V16" s="44" t="str">
        <f t="shared" si="13"/>
        <v/>
      </c>
      <c r="W16" s="44" t="str">
        <f t="shared" si="14"/>
        <v/>
      </c>
      <c r="X16" s="44" t="str">
        <f t="shared" si="15"/>
        <v/>
      </c>
      <c r="Z16" s="44" t="str">
        <f t="shared" si="16"/>
        <v>J1</v>
      </c>
      <c r="AA16" s="44" t="str">
        <f t="shared" si="17"/>
        <v>J2</v>
      </c>
      <c r="AB16" s="44" t="str">
        <f t="shared" si="18"/>
        <v>J3</v>
      </c>
      <c r="AC16" s="44" t="str">
        <f t="shared" si="19"/>
        <v>J4</v>
      </c>
      <c r="AD16" s="44" t="str">
        <f t="shared" si="20"/>
        <v>J5</v>
      </c>
      <c r="AE16" s="44" t="str">
        <f t="shared" si="21"/>
        <v/>
      </c>
      <c r="AF16" s="44" t="str">
        <f t="shared" si="22"/>
        <v/>
      </c>
      <c r="AG16" s="44" t="str">
        <f t="shared" si="23"/>
        <v/>
      </c>
      <c r="AH16" s="44" t="str">
        <f t="shared" si="24"/>
        <v/>
      </c>
      <c r="AI16" s="44" t="str">
        <f t="shared" si="25"/>
        <v/>
      </c>
    </row>
    <row r="17" spans="1:35" x14ac:dyDescent="0.25">
      <c r="A17" s="35">
        <v>15</v>
      </c>
      <c r="B17" s="36" t="s">
        <v>214</v>
      </c>
      <c r="C17" s="36" t="s">
        <v>215</v>
      </c>
      <c r="D17" s="37">
        <v>2</v>
      </c>
      <c r="E17" s="37"/>
      <c r="F17" s="37"/>
      <c r="G17" s="38">
        <f t="shared" si="0"/>
        <v>2</v>
      </c>
      <c r="H17" s="39"/>
      <c r="I17" t="str">
        <f t="shared" si="1"/>
        <v/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/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5">
      <c r="A18" s="40">
        <v>16</v>
      </c>
      <c r="B18" s="41" t="s">
        <v>216</v>
      </c>
      <c r="C18" s="41" t="s">
        <v>217</v>
      </c>
      <c r="D18" s="42">
        <v>3</v>
      </c>
      <c r="E18" s="42"/>
      <c r="F18" s="42">
        <v>1</v>
      </c>
      <c r="G18" s="43">
        <f t="shared" si="0"/>
        <v>4</v>
      </c>
      <c r="H18" s="39"/>
      <c r="I18" s="44" t="str">
        <f t="shared" si="1"/>
        <v>G1</v>
      </c>
      <c r="J18" s="44" t="str">
        <f t="shared" si="2"/>
        <v/>
      </c>
      <c r="K18" s="44" t="str">
        <f t="shared" si="3"/>
        <v/>
      </c>
      <c r="L18" s="44" t="str">
        <f t="shared" si="4"/>
        <v/>
      </c>
      <c r="M18" s="44" t="str">
        <f t="shared" si="5"/>
        <v/>
      </c>
      <c r="O18" s="44" t="str">
        <f t="shared" si="6"/>
        <v/>
      </c>
      <c r="P18" s="44" t="str">
        <f t="shared" si="7"/>
        <v/>
      </c>
      <c r="Q18" s="44" t="str">
        <f t="shared" si="8"/>
        <v/>
      </c>
      <c r="R18" s="44" t="str">
        <f t="shared" si="9"/>
        <v/>
      </c>
      <c r="S18" s="44" t="str">
        <f t="shared" si="10"/>
        <v/>
      </c>
      <c r="T18" s="44" t="str">
        <f t="shared" si="11"/>
        <v/>
      </c>
      <c r="U18" s="44" t="str">
        <f t="shared" si="12"/>
        <v/>
      </c>
      <c r="V18" s="44" t="str">
        <f t="shared" si="13"/>
        <v/>
      </c>
      <c r="W18" s="44" t="str">
        <f t="shared" si="14"/>
        <v/>
      </c>
      <c r="X18" s="44" t="str">
        <f t="shared" si="15"/>
        <v/>
      </c>
      <c r="Z18" s="44" t="str">
        <f t="shared" si="16"/>
        <v>J1</v>
      </c>
      <c r="AA18" s="44" t="str">
        <f t="shared" si="17"/>
        <v>J2</v>
      </c>
      <c r="AB18" s="44" t="str">
        <f t="shared" si="18"/>
        <v>J3</v>
      </c>
      <c r="AC18" s="44" t="str">
        <f t="shared" si="19"/>
        <v/>
      </c>
      <c r="AD18" s="44" t="str">
        <f t="shared" si="20"/>
        <v/>
      </c>
      <c r="AE18" s="44" t="str">
        <f t="shared" si="21"/>
        <v/>
      </c>
      <c r="AF18" s="44" t="str">
        <f t="shared" si="22"/>
        <v/>
      </c>
      <c r="AG18" s="44" t="str">
        <f t="shared" si="23"/>
        <v/>
      </c>
      <c r="AH18" s="44" t="str">
        <f t="shared" si="24"/>
        <v/>
      </c>
      <c r="AI18" s="44" t="str">
        <f t="shared" si="25"/>
        <v/>
      </c>
    </row>
    <row r="19" spans="1:35" x14ac:dyDescent="0.25">
      <c r="A19" s="35">
        <v>17</v>
      </c>
      <c r="B19" s="36" t="s">
        <v>218</v>
      </c>
      <c r="C19" s="36" t="s">
        <v>219</v>
      </c>
      <c r="D19" s="37">
        <v>1</v>
      </c>
      <c r="E19" s="37"/>
      <c r="F19" s="37">
        <v>1</v>
      </c>
      <c r="G19" s="38">
        <f t="shared" si="0"/>
        <v>2</v>
      </c>
      <c r="H19" s="39"/>
      <c r="I19" t="str">
        <f t="shared" si="1"/>
        <v>G1</v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5">
      <c r="A20" s="40">
        <v>18</v>
      </c>
      <c r="B20" s="41" t="s">
        <v>220</v>
      </c>
      <c r="C20" s="41" t="s">
        <v>221</v>
      </c>
      <c r="D20" s="42"/>
      <c r="E20" s="42"/>
      <c r="F20" s="42"/>
      <c r="G20" s="43">
        <f t="shared" si="0"/>
        <v>0</v>
      </c>
      <c r="H20" s="39"/>
      <c r="I20" s="44" t="str">
        <f t="shared" si="1"/>
        <v/>
      </c>
      <c r="J20" s="44" t="str">
        <f>IF(AND($F20&lt;&gt;"",$F20&gt;=2),"G2","")</f>
        <v/>
      </c>
      <c r="K20" s="44" t="str">
        <f t="shared" si="3"/>
        <v/>
      </c>
      <c r="L20" s="44" t="str">
        <f t="shared" si="4"/>
        <v/>
      </c>
      <c r="M20" s="44" t="str">
        <f t="shared" si="5"/>
        <v/>
      </c>
      <c r="O20" s="44" t="str">
        <f t="shared" si="6"/>
        <v/>
      </c>
      <c r="P20" s="44" t="str">
        <f t="shared" si="7"/>
        <v/>
      </c>
      <c r="Q20" s="44" t="str">
        <f t="shared" si="8"/>
        <v/>
      </c>
      <c r="R20" s="44" t="str">
        <f t="shared" si="9"/>
        <v/>
      </c>
      <c r="S20" s="44" t="str">
        <f t="shared" si="10"/>
        <v/>
      </c>
      <c r="T20" s="44" t="str">
        <f t="shared" si="11"/>
        <v/>
      </c>
      <c r="U20" s="44" t="str">
        <f t="shared" si="12"/>
        <v/>
      </c>
      <c r="V20" s="44" t="str">
        <f t="shared" si="13"/>
        <v/>
      </c>
      <c r="W20" s="44" t="str">
        <f t="shared" si="14"/>
        <v/>
      </c>
      <c r="X20" s="44" t="str">
        <f t="shared" si="15"/>
        <v/>
      </c>
      <c r="Z20" s="44" t="str">
        <f t="shared" si="16"/>
        <v/>
      </c>
      <c r="AA20" s="44" t="str">
        <f t="shared" si="17"/>
        <v/>
      </c>
      <c r="AB20" s="44" t="str">
        <f t="shared" si="18"/>
        <v/>
      </c>
      <c r="AC20" s="44" t="str">
        <f t="shared" si="19"/>
        <v/>
      </c>
      <c r="AD20" s="44" t="str">
        <f t="shared" si="20"/>
        <v/>
      </c>
      <c r="AE20" s="44" t="str">
        <f t="shared" si="21"/>
        <v/>
      </c>
      <c r="AF20" s="44" t="str">
        <f t="shared" si="22"/>
        <v/>
      </c>
      <c r="AG20" s="44" t="str">
        <f t="shared" si="23"/>
        <v/>
      </c>
      <c r="AH20" s="44" t="str">
        <f t="shared" si="24"/>
        <v/>
      </c>
      <c r="AI20" s="44" t="str">
        <f t="shared" si="25"/>
        <v/>
      </c>
    </row>
    <row r="21" spans="1:35" x14ac:dyDescent="0.25">
      <c r="A21" s="35">
        <v>19</v>
      </c>
      <c r="B21" s="36" t="s">
        <v>222</v>
      </c>
      <c r="C21" s="36" t="s">
        <v>223</v>
      </c>
      <c r="D21" s="37">
        <v>9</v>
      </c>
      <c r="E21" s="37">
        <v>2</v>
      </c>
      <c r="F21" s="37">
        <v>3</v>
      </c>
      <c r="G21" s="38">
        <f t="shared" si="0"/>
        <v>14</v>
      </c>
      <c r="H21" s="39"/>
      <c r="I21" t="str">
        <f t="shared" si="1"/>
        <v>G1</v>
      </c>
      <c r="J21" t="str">
        <f t="shared" si="2"/>
        <v>G2</v>
      </c>
      <c r="K21" t="str">
        <f t="shared" si="3"/>
        <v>G3</v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/>
      </c>
      <c r="R21" t="str">
        <f t="shared" si="9"/>
        <v/>
      </c>
      <c r="S21" t="str">
        <f t="shared" si="10"/>
        <v/>
      </c>
      <c r="T21" t="str">
        <f t="shared" si="11"/>
        <v/>
      </c>
      <c r="U21" t="str">
        <f t="shared" si="12"/>
        <v/>
      </c>
      <c r="V21" t="str">
        <f t="shared" si="13"/>
        <v/>
      </c>
      <c r="W21" t="str">
        <f t="shared" si="14"/>
        <v/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>J9</v>
      </c>
      <c r="AI21" t="str">
        <f t="shared" si="25"/>
        <v/>
      </c>
    </row>
    <row r="22" spans="1:35" x14ac:dyDescent="0.25">
      <c r="A22" s="40">
        <v>20</v>
      </c>
      <c r="B22" s="41" t="s">
        <v>224</v>
      </c>
      <c r="C22" s="41" t="s">
        <v>225</v>
      </c>
      <c r="D22" s="42">
        <v>8</v>
      </c>
      <c r="E22" s="42"/>
      <c r="F22" s="42">
        <v>1</v>
      </c>
      <c r="G22" s="43">
        <f t="shared" si="0"/>
        <v>9</v>
      </c>
      <c r="H22" s="39"/>
      <c r="I22" s="44" t="str">
        <f t="shared" si="1"/>
        <v>G1</v>
      </c>
      <c r="J22" s="44" t="str">
        <f t="shared" si="2"/>
        <v/>
      </c>
      <c r="K22" s="44" t="str">
        <f t="shared" si="3"/>
        <v/>
      </c>
      <c r="L22" s="44" t="str">
        <f t="shared" si="4"/>
        <v/>
      </c>
      <c r="M22" s="44" t="str">
        <f t="shared" si="5"/>
        <v/>
      </c>
      <c r="O22" s="44" t="str">
        <f t="shared" si="6"/>
        <v/>
      </c>
      <c r="P22" s="44" t="str">
        <f t="shared" si="7"/>
        <v/>
      </c>
      <c r="Q22" s="44" t="str">
        <f t="shared" si="8"/>
        <v/>
      </c>
      <c r="R22" s="44" t="str">
        <f t="shared" si="9"/>
        <v/>
      </c>
      <c r="S22" s="44" t="str">
        <f t="shared" si="10"/>
        <v/>
      </c>
      <c r="T22" s="44" t="str">
        <f t="shared" si="11"/>
        <v/>
      </c>
      <c r="U22" s="44" t="str">
        <f t="shared" si="12"/>
        <v/>
      </c>
      <c r="V22" s="44" t="str">
        <f t="shared" si="13"/>
        <v/>
      </c>
      <c r="W22" s="44" t="str">
        <f t="shared" si="14"/>
        <v/>
      </c>
      <c r="X22" s="44" t="str">
        <f t="shared" si="15"/>
        <v/>
      </c>
      <c r="Z22" s="44" t="str">
        <f t="shared" si="16"/>
        <v>J1</v>
      </c>
      <c r="AA22" s="44" t="str">
        <f t="shared" si="17"/>
        <v>J2</v>
      </c>
      <c r="AB22" s="44" t="str">
        <f t="shared" si="18"/>
        <v>J3</v>
      </c>
      <c r="AC22" s="44" t="str">
        <f t="shared" si="19"/>
        <v>J4</v>
      </c>
      <c r="AD22" s="44" t="str">
        <f t="shared" si="20"/>
        <v>J5</v>
      </c>
      <c r="AE22" s="44" t="str">
        <f t="shared" si="21"/>
        <v>J6</v>
      </c>
      <c r="AF22" s="44" t="str">
        <f t="shared" si="22"/>
        <v>J7</v>
      </c>
      <c r="AG22" s="44" t="str">
        <f t="shared" si="23"/>
        <v>J8</v>
      </c>
      <c r="AH22" s="44" t="str">
        <f t="shared" si="24"/>
        <v/>
      </c>
      <c r="AI22" s="44" t="str">
        <f t="shared" si="25"/>
        <v/>
      </c>
    </row>
    <row r="23" spans="1:35" x14ac:dyDescent="0.25">
      <c r="A23" s="35">
        <v>21</v>
      </c>
      <c r="B23" s="36" t="s">
        <v>226</v>
      </c>
      <c r="C23" s="46" t="s">
        <v>227</v>
      </c>
      <c r="D23" s="37"/>
      <c r="E23" s="37"/>
      <c r="F23" s="47"/>
      <c r="G23" s="38">
        <f t="shared" si="0"/>
        <v>0</v>
      </c>
      <c r="H23" s="48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/>
      </c>
      <c r="AA23" t="str">
        <f t="shared" si="17"/>
        <v/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5">
      <c r="A24" s="40">
        <v>22</v>
      </c>
      <c r="B24" s="41" t="s">
        <v>228</v>
      </c>
      <c r="C24" s="41" t="s">
        <v>229</v>
      </c>
      <c r="D24" s="42"/>
      <c r="E24" s="42"/>
      <c r="F24" s="42">
        <v>2</v>
      </c>
      <c r="G24" s="43">
        <f t="shared" si="0"/>
        <v>2</v>
      </c>
      <c r="H24" s="39"/>
      <c r="I24" s="44" t="str">
        <f t="shared" si="1"/>
        <v>G1</v>
      </c>
      <c r="J24" s="44" t="str">
        <f t="shared" si="2"/>
        <v>G2</v>
      </c>
      <c r="K24" s="44" t="str">
        <f t="shared" si="3"/>
        <v/>
      </c>
      <c r="L24" s="44" t="str">
        <f t="shared" si="4"/>
        <v/>
      </c>
      <c r="M24" s="44" t="str">
        <f t="shared" si="5"/>
        <v/>
      </c>
      <c r="O24" s="44" t="str">
        <f t="shared" si="6"/>
        <v/>
      </c>
      <c r="P24" s="44" t="str">
        <f t="shared" si="7"/>
        <v/>
      </c>
      <c r="Q24" s="44" t="str">
        <f t="shared" si="8"/>
        <v/>
      </c>
      <c r="R24" s="44" t="str">
        <f t="shared" si="9"/>
        <v/>
      </c>
      <c r="S24" s="44" t="str">
        <f t="shared" si="10"/>
        <v/>
      </c>
      <c r="T24" s="44" t="str">
        <f t="shared" si="11"/>
        <v/>
      </c>
      <c r="U24" s="44" t="str">
        <f t="shared" si="12"/>
        <v/>
      </c>
      <c r="V24" s="44" t="str">
        <f t="shared" si="13"/>
        <v/>
      </c>
      <c r="W24" s="44" t="str">
        <f t="shared" si="14"/>
        <v/>
      </c>
      <c r="X24" s="44" t="str">
        <f t="shared" si="15"/>
        <v/>
      </c>
      <c r="Z24" s="44" t="str">
        <f t="shared" si="16"/>
        <v/>
      </c>
      <c r="AA24" s="44" t="str">
        <f t="shared" si="17"/>
        <v/>
      </c>
      <c r="AB24" s="44" t="str">
        <f t="shared" si="18"/>
        <v/>
      </c>
      <c r="AC24" s="44" t="str">
        <f t="shared" si="19"/>
        <v/>
      </c>
      <c r="AD24" s="44" t="str">
        <f t="shared" si="20"/>
        <v/>
      </c>
      <c r="AE24" s="44" t="str">
        <f t="shared" si="21"/>
        <v/>
      </c>
      <c r="AF24" s="44" t="str">
        <f t="shared" si="22"/>
        <v/>
      </c>
      <c r="AG24" s="44" t="str">
        <f t="shared" si="23"/>
        <v/>
      </c>
      <c r="AH24" s="44" t="str">
        <f t="shared" si="24"/>
        <v/>
      </c>
      <c r="AI24" s="44" t="str">
        <f t="shared" si="25"/>
        <v/>
      </c>
    </row>
    <row r="25" spans="1:35" x14ac:dyDescent="0.25">
      <c r="A25" s="35">
        <v>23</v>
      </c>
      <c r="B25" s="36" t="s">
        <v>230</v>
      </c>
      <c r="C25" s="36" t="s">
        <v>231</v>
      </c>
      <c r="D25" s="37">
        <v>2</v>
      </c>
      <c r="E25" s="37">
        <v>1</v>
      </c>
      <c r="F25" s="37"/>
      <c r="G25" s="38">
        <f t="shared" si="0"/>
        <v>3</v>
      </c>
      <c r="H25" s="39"/>
      <c r="I25" t="str">
        <f t="shared" si="1"/>
        <v/>
      </c>
      <c r="J25" t="str">
        <f t="shared" si="2"/>
        <v/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/>
      </c>
      <c r="Q25" t="str">
        <f t="shared" si="8"/>
        <v/>
      </c>
      <c r="R25" t="str">
        <f t="shared" si="9"/>
        <v/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/>
      </c>
      <c r="AC25" t="str">
        <f t="shared" si="19"/>
        <v/>
      </c>
      <c r="AD25" t="str">
        <f t="shared" si="20"/>
        <v/>
      </c>
      <c r="AE25" t="str">
        <f t="shared" si="21"/>
        <v/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5">
      <c r="A26" s="40">
        <v>24</v>
      </c>
      <c r="B26" s="49" t="s">
        <v>232</v>
      </c>
      <c r="C26" s="49" t="s">
        <v>233</v>
      </c>
      <c r="D26" s="42"/>
      <c r="E26" s="42"/>
      <c r="F26" s="42">
        <v>1</v>
      </c>
      <c r="G26" s="43">
        <f t="shared" si="0"/>
        <v>1</v>
      </c>
      <c r="H26" s="39"/>
      <c r="I26" s="44" t="str">
        <f t="shared" si="1"/>
        <v>G1</v>
      </c>
      <c r="J26" s="44" t="str">
        <f t="shared" si="2"/>
        <v/>
      </c>
      <c r="K26" s="44" t="str">
        <f t="shared" si="3"/>
        <v/>
      </c>
      <c r="L26" s="44" t="str">
        <f t="shared" si="4"/>
        <v/>
      </c>
      <c r="M26" s="44" t="str">
        <f t="shared" si="5"/>
        <v/>
      </c>
      <c r="O26" s="44" t="str">
        <f t="shared" si="6"/>
        <v/>
      </c>
      <c r="P26" s="44" t="str">
        <f t="shared" si="7"/>
        <v/>
      </c>
      <c r="Q26" s="44" t="str">
        <f t="shared" si="8"/>
        <v/>
      </c>
      <c r="R26" s="44" t="str">
        <f t="shared" si="9"/>
        <v/>
      </c>
      <c r="S26" s="44" t="str">
        <f t="shared" si="10"/>
        <v/>
      </c>
      <c r="T26" s="44" t="str">
        <f t="shared" si="11"/>
        <v/>
      </c>
      <c r="U26" s="44" t="str">
        <f t="shared" si="12"/>
        <v/>
      </c>
      <c r="V26" s="44" t="str">
        <f t="shared" si="13"/>
        <v/>
      </c>
      <c r="W26" s="44" t="str">
        <f t="shared" si="14"/>
        <v/>
      </c>
      <c r="X26" s="44" t="str">
        <f t="shared" si="15"/>
        <v/>
      </c>
      <c r="Z26" s="44" t="str">
        <f t="shared" si="16"/>
        <v/>
      </c>
      <c r="AA26" s="44" t="str">
        <f t="shared" si="17"/>
        <v/>
      </c>
      <c r="AB26" s="44" t="str">
        <f t="shared" si="18"/>
        <v/>
      </c>
      <c r="AC26" s="44" t="str">
        <f t="shared" si="19"/>
        <v/>
      </c>
      <c r="AD26" s="44" t="str">
        <f t="shared" si="20"/>
        <v/>
      </c>
      <c r="AE26" s="44" t="str">
        <f t="shared" si="21"/>
        <v/>
      </c>
      <c r="AF26" s="44" t="str">
        <f t="shared" si="22"/>
        <v/>
      </c>
      <c r="AG26" s="44" t="str">
        <f t="shared" si="23"/>
        <v/>
      </c>
      <c r="AH26" s="44" t="str">
        <f t="shared" si="24"/>
        <v/>
      </c>
      <c r="AI26" s="44" t="str">
        <f t="shared" si="25"/>
        <v/>
      </c>
    </row>
    <row r="27" spans="1:35" x14ac:dyDescent="0.25">
      <c r="A27" s="35">
        <v>25</v>
      </c>
      <c r="B27" s="36" t="s">
        <v>234</v>
      </c>
      <c r="C27" s="36" t="s">
        <v>235</v>
      </c>
      <c r="D27" s="37">
        <v>3</v>
      </c>
      <c r="E27" s="37">
        <v>2</v>
      </c>
      <c r="F27" s="37"/>
      <c r="G27" s="38">
        <f t="shared" si="0"/>
        <v>5</v>
      </c>
      <c r="H27" s="39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>M2</v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>J3</v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5">
      <c r="A28" s="40">
        <v>26</v>
      </c>
      <c r="B28" s="41" t="s">
        <v>236</v>
      </c>
      <c r="C28" s="41" t="s">
        <v>237</v>
      </c>
      <c r="D28" s="42">
        <v>2</v>
      </c>
      <c r="E28" s="42"/>
      <c r="F28" s="42"/>
      <c r="G28" s="43">
        <f t="shared" si="0"/>
        <v>2</v>
      </c>
      <c r="H28" s="39"/>
      <c r="I28" s="44" t="str">
        <f t="shared" si="1"/>
        <v/>
      </c>
      <c r="J28" s="44" t="str">
        <f t="shared" si="2"/>
        <v/>
      </c>
      <c r="K28" s="44" t="str">
        <f t="shared" si="3"/>
        <v/>
      </c>
      <c r="L28" s="44" t="str">
        <f t="shared" si="4"/>
        <v/>
      </c>
      <c r="M28" s="44" t="str">
        <f t="shared" si="5"/>
        <v/>
      </c>
      <c r="O28" s="44" t="str">
        <f t="shared" si="6"/>
        <v/>
      </c>
      <c r="P28" s="44" t="str">
        <f t="shared" si="7"/>
        <v/>
      </c>
      <c r="Q28" s="44" t="str">
        <f t="shared" si="8"/>
        <v/>
      </c>
      <c r="R28" s="44" t="str">
        <f t="shared" si="9"/>
        <v/>
      </c>
      <c r="S28" s="44" t="str">
        <f t="shared" si="10"/>
        <v/>
      </c>
      <c r="T28" s="44" t="str">
        <f t="shared" si="11"/>
        <v/>
      </c>
      <c r="U28" s="44" t="str">
        <f t="shared" si="12"/>
        <v/>
      </c>
      <c r="V28" s="44" t="str">
        <f t="shared" si="13"/>
        <v/>
      </c>
      <c r="W28" s="44" t="str">
        <f t="shared" si="14"/>
        <v/>
      </c>
      <c r="X28" s="44" t="str">
        <f t="shared" si="15"/>
        <v/>
      </c>
      <c r="Z28" s="44" t="str">
        <f t="shared" si="16"/>
        <v>J1</v>
      </c>
      <c r="AA28" s="44" t="str">
        <f t="shared" si="17"/>
        <v>J2</v>
      </c>
      <c r="AB28" s="44" t="str">
        <f t="shared" si="18"/>
        <v/>
      </c>
      <c r="AC28" s="44" t="str">
        <f t="shared" si="19"/>
        <v/>
      </c>
      <c r="AD28" s="44" t="str">
        <f t="shared" si="20"/>
        <v/>
      </c>
      <c r="AE28" s="44" t="str">
        <f t="shared" si="21"/>
        <v/>
      </c>
      <c r="AF28" s="44" t="str">
        <f t="shared" si="22"/>
        <v/>
      </c>
      <c r="AG28" s="44" t="str">
        <f t="shared" si="23"/>
        <v/>
      </c>
      <c r="AH28" s="44" t="str">
        <f t="shared" si="24"/>
        <v/>
      </c>
      <c r="AI28" s="44" t="str">
        <f t="shared" si="25"/>
        <v/>
      </c>
    </row>
    <row r="29" spans="1:35" x14ac:dyDescent="0.25">
      <c r="A29" s="35">
        <v>27</v>
      </c>
      <c r="B29" s="36" t="s">
        <v>238</v>
      </c>
      <c r="C29" s="36" t="s">
        <v>238</v>
      </c>
      <c r="D29" s="37">
        <v>3</v>
      </c>
      <c r="E29" s="37">
        <v>0</v>
      </c>
      <c r="F29" s="37">
        <v>0</v>
      </c>
      <c r="G29" s="38">
        <f t="shared" si="0"/>
        <v>3</v>
      </c>
      <c r="H29" s="39"/>
      <c r="I29" t="str">
        <f t="shared" si="1"/>
        <v/>
      </c>
      <c r="J29" t="str">
        <f t="shared" si="2"/>
        <v/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/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/>
      </c>
      <c r="AD29" t="str">
        <f t="shared" si="20"/>
        <v/>
      </c>
      <c r="AE29" t="str">
        <f t="shared" si="21"/>
        <v/>
      </c>
      <c r="AF29" t="str">
        <f t="shared" si="22"/>
        <v/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5">
      <c r="A30" s="40">
        <v>28</v>
      </c>
      <c r="B30" s="41" t="s">
        <v>239</v>
      </c>
      <c r="C30" s="41" t="s">
        <v>240</v>
      </c>
      <c r="D30" s="42"/>
      <c r="E30" s="42"/>
      <c r="F30" s="42"/>
      <c r="G30" s="43">
        <f t="shared" si="0"/>
        <v>0</v>
      </c>
      <c r="H30" s="39"/>
      <c r="I30" s="44" t="str">
        <f t="shared" si="1"/>
        <v/>
      </c>
      <c r="J30" s="44" t="str">
        <f t="shared" si="2"/>
        <v/>
      </c>
      <c r="K30" s="44" t="str">
        <f t="shared" si="3"/>
        <v/>
      </c>
      <c r="L30" s="44" t="str">
        <f t="shared" si="4"/>
        <v/>
      </c>
      <c r="M30" s="44" t="str">
        <f t="shared" si="5"/>
        <v/>
      </c>
      <c r="O30" s="44" t="str">
        <f t="shared" si="6"/>
        <v/>
      </c>
      <c r="P30" s="44" t="str">
        <f t="shared" si="7"/>
        <v/>
      </c>
      <c r="Q30" s="44" t="str">
        <f t="shared" si="8"/>
        <v/>
      </c>
      <c r="R30" s="44" t="str">
        <f t="shared" si="9"/>
        <v/>
      </c>
      <c r="S30" s="44" t="str">
        <f t="shared" si="10"/>
        <v/>
      </c>
      <c r="T30" s="44" t="str">
        <f t="shared" si="11"/>
        <v/>
      </c>
      <c r="U30" s="44" t="str">
        <f t="shared" si="12"/>
        <v/>
      </c>
      <c r="V30" s="44" t="str">
        <f t="shared" si="13"/>
        <v/>
      </c>
      <c r="W30" s="44" t="str">
        <f t="shared" si="14"/>
        <v/>
      </c>
      <c r="X30" s="44" t="str">
        <f t="shared" si="15"/>
        <v/>
      </c>
      <c r="Z30" s="44" t="str">
        <f t="shared" si="16"/>
        <v/>
      </c>
      <c r="AA30" s="44" t="str">
        <f t="shared" si="17"/>
        <v/>
      </c>
      <c r="AB30" s="44" t="str">
        <f t="shared" si="18"/>
        <v/>
      </c>
      <c r="AC30" s="44" t="str">
        <f t="shared" si="19"/>
        <v/>
      </c>
      <c r="AD30" s="44" t="str">
        <f t="shared" si="20"/>
        <v/>
      </c>
      <c r="AE30" s="44" t="str">
        <f t="shared" si="21"/>
        <v/>
      </c>
      <c r="AF30" s="44" t="str">
        <f t="shared" si="22"/>
        <v/>
      </c>
      <c r="AG30" s="44" t="str">
        <f t="shared" si="23"/>
        <v/>
      </c>
      <c r="AH30" s="44" t="str">
        <f t="shared" si="24"/>
        <v/>
      </c>
      <c r="AI30" s="44" t="str">
        <f t="shared" si="25"/>
        <v/>
      </c>
    </row>
    <row r="31" spans="1:35" x14ac:dyDescent="0.25">
      <c r="A31" s="50">
        <v>29</v>
      </c>
      <c r="B31" s="51" t="s">
        <v>241</v>
      </c>
      <c r="C31" s="51" t="s">
        <v>242</v>
      </c>
      <c r="D31" s="52">
        <v>3</v>
      </c>
      <c r="E31" s="52">
        <v>1</v>
      </c>
      <c r="F31" s="52">
        <v>1</v>
      </c>
      <c r="G31" s="38">
        <f t="shared" si="0"/>
        <v>5</v>
      </c>
      <c r="H31" s="39"/>
      <c r="I31" t="str">
        <f t="shared" si="1"/>
        <v>G1</v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/>
      </c>
      <c r="Q31" t="str">
        <f t="shared" si="8"/>
        <v/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/>
      </c>
      <c r="AD31" t="str">
        <f t="shared" si="20"/>
        <v/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5">
      <c r="A32" s="53">
        <v>30</v>
      </c>
      <c r="B32" s="54" t="s">
        <v>243</v>
      </c>
      <c r="C32" s="55" t="s">
        <v>244</v>
      </c>
      <c r="D32" s="56">
        <v>2</v>
      </c>
      <c r="E32" s="56">
        <v>5</v>
      </c>
      <c r="F32" s="57">
        <v>3</v>
      </c>
      <c r="G32" s="43">
        <f>SUM(D32:F32)</f>
        <v>10</v>
      </c>
      <c r="H32" s="39"/>
      <c r="I32" s="44" t="str">
        <f t="shared" si="1"/>
        <v>G1</v>
      </c>
      <c r="J32" s="44" t="str">
        <f t="shared" si="2"/>
        <v>G2</v>
      </c>
      <c r="K32" s="44" t="str">
        <f t="shared" si="3"/>
        <v>G3</v>
      </c>
      <c r="L32" s="44" t="str">
        <f t="shared" si="4"/>
        <v/>
      </c>
      <c r="M32" s="44" t="str">
        <f t="shared" si="5"/>
        <v/>
      </c>
      <c r="O32" s="44" t="str">
        <f t="shared" si="6"/>
        <v>M1</v>
      </c>
      <c r="P32" s="44" t="str">
        <f t="shared" si="7"/>
        <v>M2</v>
      </c>
      <c r="Q32" s="44" t="str">
        <f t="shared" si="8"/>
        <v>M3</v>
      </c>
      <c r="R32" s="44" t="str">
        <f t="shared" si="9"/>
        <v>M4</v>
      </c>
      <c r="S32" s="44" t="str">
        <f t="shared" si="10"/>
        <v>M5</v>
      </c>
      <c r="T32" s="44" t="str">
        <f t="shared" si="11"/>
        <v/>
      </c>
      <c r="U32" s="44" t="str">
        <f t="shared" si="12"/>
        <v/>
      </c>
      <c r="V32" s="44" t="str">
        <f t="shared" si="13"/>
        <v/>
      </c>
      <c r="W32" s="44" t="str">
        <f t="shared" si="14"/>
        <v/>
      </c>
      <c r="X32" s="44" t="str">
        <f t="shared" si="15"/>
        <v/>
      </c>
      <c r="Z32" s="44" t="str">
        <f t="shared" si="16"/>
        <v>J1</v>
      </c>
      <c r="AA32" s="44" t="str">
        <f t="shared" si="17"/>
        <v>J2</v>
      </c>
      <c r="AB32" s="44" t="str">
        <f t="shared" si="18"/>
        <v/>
      </c>
      <c r="AC32" s="44" t="str">
        <f t="shared" si="19"/>
        <v/>
      </c>
      <c r="AD32" s="44" t="str">
        <f t="shared" si="20"/>
        <v/>
      </c>
      <c r="AE32" s="44" t="str">
        <f t="shared" si="21"/>
        <v/>
      </c>
      <c r="AF32" s="44" t="str">
        <f t="shared" si="22"/>
        <v/>
      </c>
      <c r="AG32" s="44" t="str">
        <f t="shared" si="23"/>
        <v/>
      </c>
      <c r="AH32" s="44" t="str">
        <f t="shared" si="24"/>
        <v/>
      </c>
      <c r="AI32" s="44" t="str">
        <f t="shared" si="25"/>
        <v/>
      </c>
    </row>
    <row r="34" spans="9:35" x14ac:dyDescent="0.25">
      <c r="I34" s="58"/>
      <c r="J34" s="58"/>
      <c r="K34" s="58"/>
      <c r="L34" s="58"/>
      <c r="O34" s="58"/>
      <c r="P34" s="58"/>
      <c r="Q34" s="58"/>
      <c r="R34" s="58"/>
      <c r="S34" s="58"/>
      <c r="T34" s="58"/>
      <c r="U34" s="58"/>
      <c r="V34" s="58"/>
      <c r="W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</row>
  </sheetData>
  <conditionalFormatting sqref="I2:AH31">
    <cfRule type="expression" dxfId="3" priority="4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3622047244094491" right="0.23622047244094491" top="0.74803149606299213" bottom="0.74803149606299213" header="0.31496062992125984" footer="0.31496062992125984"/>
  <pageSetup paperSize="8" scale="11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10330-59A3-4455-BA5B-6A5B05287AC4}">
  <sheetPr codeName="Sheet2"/>
  <dimension ref="A1:M32"/>
  <sheetViews>
    <sheetView workbookViewId="0">
      <selection activeCell="J3" sqref="J3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3.6640625" customWidth="1"/>
    <col min="5" max="7" width="10.33203125" customWidth="1"/>
    <col min="8" max="8" width="2.6640625" customWidth="1"/>
    <col min="9" max="11" width="10.33203125" customWidth="1"/>
    <col min="12" max="12" width="2.6640625" customWidth="1"/>
  </cols>
  <sheetData>
    <row r="1" spans="1:13" x14ac:dyDescent="0.25">
      <c r="E1" s="27" t="s">
        <v>245</v>
      </c>
      <c r="I1" s="27" t="s">
        <v>246</v>
      </c>
      <c r="M1" s="27" t="s">
        <v>247</v>
      </c>
    </row>
    <row r="2" spans="1:13" x14ac:dyDescent="0.25">
      <c r="A2" s="28" t="s">
        <v>157</v>
      </c>
      <c r="B2" s="29" t="s">
        <v>158</v>
      </c>
      <c r="C2" s="29" t="s">
        <v>159</v>
      </c>
      <c r="E2" s="59" t="s">
        <v>248</v>
      </c>
      <c r="F2" s="59" t="s">
        <v>249</v>
      </c>
      <c r="G2" s="59" t="s">
        <v>0</v>
      </c>
      <c r="I2" s="59" t="s">
        <v>248</v>
      </c>
      <c r="J2" s="59" t="s">
        <v>249</v>
      </c>
      <c r="K2" s="59" t="s">
        <v>0</v>
      </c>
      <c r="M2" s="59" t="s">
        <v>160</v>
      </c>
    </row>
    <row r="3" spans="1:13" x14ac:dyDescent="0.25">
      <c r="A3" s="35">
        <v>1</v>
      </c>
      <c r="B3" s="36" t="s">
        <v>186</v>
      </c>
      <c r="C3" s="36" t="s">
        <v>187</v>
      </c>
      <c r="E3" s="60">
        <v>41</v>
      </c>
      <c r="F3" s="60">
        <v>28</v>
      </c>
      <c r="G3" s="60"/>
      <c r="I3" s="60">
        <v>4</v>
      </c>
      <c r="J3" s="60">
        <v>3</v>
      </c>
      <c r="K3" s="60"/>
      <c r="M3" s="60">
        <f t="shared" ref="M3:M32" si="0">SUM($E3:$G3)/SUM(I3:K3)</f>
        <v>9.8571428571428577</v>
      </c>
    </row>
    <row r="4" spans="1:13" x14ac:dyDescent="0.25">
      <c r="A4" s="40">
        <v>2</v>
      </c>
      <c r="B4" s="41" t="s">
        <v>188</v>
      </c>
      <c r="C4" s="41" t="s">
        <v>189</v>
      </c>
      <c r="E4" s="60">
        <v>46</v>
      </c>
      <c r="F4" s="60">
        <v>29</v>
      </c>
      <c r="G4" s="60"/>
      <c r="I4" s="60">
        <v>5</v>
      </c>
      <c r="J4" s="60">
        <v>3</v>
      </c>
      <c r="K4" s="60"/>
      <c r="M4" s="60">
        <f t="shared" si="0"/>
        <v>9.375</v>
      </c>
    </row>
    <row r="5" spans="1:13" x14ac:dyDescent="0.25">
      <c r="A5" s="35">
        <v>3</v>
      </c>
      <c r="B5" s="36" t="s">
        <v>190</v>
      </c>
      <c r="C5" s="36" t="s">
        <v>191</v>
      </c>
      <c r="E5" s="60">
        <v>63</v>
      </c>
      <c r="F5" s="60">
        <v>96</v>
      </c>
      <c r="G5" s="60"/>
      <c r="I5" s="60">
        <v>8</v>
      </c>
      <c r="J5" s="60">
        <v>9</v>
      </c>
      <c r="K5" s="60"/>
      <c r="M5" s="60">
        <f t="shared" si="0"/>
        <v>9.3529411764705888</v>
      </c>
    </row>
    <row r="6" spans="1:13" x14ac:dyDescent="0.25">
      <c r="A6" s="40">
        <v>4</v>
      </c>
      <c r="B6" s="41" t="s">
        <v>192</v>
      </c>
      <c r="C6" s="41" t="s">
        <v>193</v>
      </c>
      <c r="E6" s="60">
        <v>6</v>
      </c>
      <c r="F6" s="60">
        <v>27</v>
      </c>
      <c r="G6" s="60"/>
      <c r="I6" s="60">
        <v>1</v>
      </c>
      <c r="J6" s="60">
        <v>2</v>
      </c>
      <c r="K6" s="60"/>
      <c r="M6" s="60">
        <f t="shared" si="0"/>
        <v>11</v>
      </c>
    </row>
    <row r="7" spans="1:13" x14ac:dyDescent="0.25">
      <c r="A7" s="35">
        <v>5</v>
      </c>
      <c r="B7" s="36" t="s">
        <v>194</v>
      </c>
      <c r="C7" s="36" t="s">
        <v>195</v>
      </c>
      <c r="E7" s="60">
        <v>22</v>
      </c>
      <c r="F7" s="60">
        <v>28</v>
      </c>
      <c r="G7" s="60"/>
      <c r="I7" s="60">
        <v>2</v>
      </c>
      <c r="J7" s="60">
        <v>3</v>
      </c>
      <c r="K7" s="60"/>
      <c r="M7" s="60">
        <f t="shared" si="0"/>
        <v>10</v>
      </c>
    </row>
    <row r="8" spans="1:13" x14ac:dyDescent="0.25">
      <c r="A8" s="40">
        <v>6</v>
      </c>
      <c r="B8" s="41" t="s">
        <v>196</v>
      </c>
      <c r="C8" s="41" t="s">
        <v>197</v>
      </c>
      <c r="E8" s="60">
        <v>29</v>
      </c>
      <c r="F8" s="60">
        <v>31</v>
      </c>
      <c r="G8" s="60"/>
      <c r="I8" s="60">
        <v>3</v>
      </c>
      <c r="J8" s="60">
        <v>3</v>
      </c>
      <c r="K8" s="60"/>
      <c r="M8" s="60">
        <f t="shared" si="0"/>
        <v>10</v>
      </c>
    </row>
    <row r="9" spans="1:13" x14ac:dyDescent="0.25">
      <c r="A9" s="35">
        <v>7</v>
      </c>
      <c r="B9" s="36" t="s">
        <v>198</v>
      </c>
      <c r="C9" s="36" t="s">
        <v>199</v>
      </c>
      <c r="E9" s="60">
        <v>43</v>
      </c>
      <c r="F9" s="60">
        <v>28</v>
      </c>
      <c r="G9" s="60"/>
      <c r="I9" s="60">
        <v>4</v>
      </c>
      <c r="J9" s="60">
        <v>3</v>
      </c>
      <c r="K9" s="60"/>
      <c r="M9" s="60">
        <f t="shared" si="0"/>
        <v>10.142857142857142</v>
      </c>
    </row>
    <row r="10" spans="1:13" x14ac:dyDescent="0.25">
      <c r="A10" s="40">
        <v>8</v>
      </c>
      <c r="B10" s="41" t="s">
        <v>200</v>
      </c>
      <c r="C10" s="41" t="s">
        <v>201</v>
      </c>
      <c r="E10" s="60">
        <v>69</v>
      </c>
      <c r="F10" s="60">
        <v>54</v>
      </c>
      <c r="G10" s="60"/>
      <c r="I10" s="60">
        <v>8</v>
      </c>
      <c r="J10" s="60">
        <v>6</v>
      </c>
      <c r="K10" s="60"/>
      <c r="M10" s="60">
        <f t="shared" si="0"/>
        <v>8.7857142857142865</v>
      </c>
    </row>
    <row r="11" spans="1:13" x14ac:dyDescent="0.25">
      <c r="A11" s="35">
        <v>9</v>
      </c>
      <c r="B11" s="36" t="s">
        <v>202</v>
      </c>
      <c r="C11" s="36" t="s">
        <v>203</v>
      </c>
      <c r="E11" s="60">
        <v>28</v>
      </c>
      <c r="F11" s="60">
        <v>30</v>
      </c>
      <c r="G11" s="60"/>
      <c r="I11" s="60">
        <v>3</v>
      </c>
      <c r="J11" s="60">
        <v>3</v>
      </c>
      <c r="K11" s="60"/>
      <c r="M11" s="60">
        <f t="shared" si="0"/>
        <v>9.6666666666666661</v>
      </c>
    </row>
    <row r="12" spans="1:13" x14ac:dyDescent="0.25">
      <c r="A12" s="40">
        <v>10</v>
      </c>
      <c r="B12" s="41" t="s">
        <v>204</v>
      </c>
      <c r="C12" s="41" t="s">
        <v>205</v>
      </c>
      <c r="E12" s="60">
        <v>12</v>
      </c>
      <c r="F12" s="60">
        <v>27</v>
      </c>
      <c r="G12" s="60"/>
      <c r="I12" s="60">
        <v>2</v>
      </c>
      <c r="J12" s="60">
        <v>3</v>
      </c>
      <c r="K12" s="60"/>
      <c r="M12" s="60">
        <f t="shared" si="0"/>
        <v>7.8</v>
      </c>
    </row>
    <row r="13" spans="1:13" x14ac:dyDescent="0.25">
      <c r="A13" s="35">
        <v>11</v>
      </c>
      <c r="B13" s="36" t="s">
        <v>206</v>
      </c>
      <c r="C13" s="36" t="s">
        <v>207</v>
      </c>
      <c r="E13" s="60">
        <v>47</v>
      </c>
      <c r="F13" s="60">
        <v>43</v>
      </c>
      <c r="G13" s="60"/>
      <c r="I13" s="60">
        <v>5</v>
      </c>
      <c r="J13" s="60">
        <v>4</v>
      </c>
      <c r="K13" s="60"/>
      <c r="M13" s="60">
        <f t="shared" si="0"/>
        <v>10</v>
      </c>
    </row>
    <row r="14" spans="1:13" x14ac:dyDescent="0.25">
      <c r="A14" s="40">
        <v>12</v>
      </c>
      <c r="B14" s="41" t="s">
        <v>208</v>
      </c>
      <c r="C14" s="41" t="s">
        <v>209</v>
      </c>
      <c r="E14" s="60">
        <v>53</v>
      </c>
      <c r="F14" s="60">
        <v>104</v>
      </c>
      <c r="G14" s="60"/>
      <c r="I14" s="60">
        <v>5</v>
      </c>
      <c r="J14" s="60">
        <v>10</v>
      </c>
      <c r="K14" s="60"/>
      <c r="M14" s="60">
        <f t="shared" si="0"/>
        <v>10.466666666666667</v>
      </c>
    </row>
    <row r="15" spans="1:13" x14ac:dyDescent="0.25">
      <c r="A15" s="35">
        <v>13</v>
      </c>
      <c r="B15" s="36" t="s">
        <v>210</v>
      </c>
      <c r="C15" s="45" t="s">
        <v>211</v>
      </c>
      <c r="E15" s="60">
        <v>75</v>
      </c>
      <c r="F15" s="60">
        <v>129</v>
      </c>
      <c r="G15" s="60"/>
      <c r="I15" s="60">
        <v>7</v>
      </c>
      <c r="J15" s="60">
        <v>12</v>
      </c>
      <c r="K15" s="60"/>
      <c r="M15" s="60">
        <f t="shared" si="0"/>
        <v>10.736842105263158</v>
      </c>
    </row>
    <row r="16" spans="1:13" x14ac:dyDescent="0.25">
      <c r="A16" s="40">
        <v>14</v>
      </c>
      <c r="B16" s="41" t="s">
        <v>212</v>
      </c>
      <c r="C16" s="41" t="s">
        <v>213</v>
      </c>
      <c r="E16" s="60">
        <v>56</v>
      </c>
      <c r="F16" s="60">
        <v>74</v>
      </c>
      <c r="G16" s="60"/>
      <c r="I16" s="60">
        <v>5</v>
      </c>
      <c r="J16" s="60">
        <v>7</v>
      </c>
      <c r="K16" s="60"/>
      <c r="M16" s="60">
        <f t="shared" si="0"/>
        <v>10.833333333333334</v>
      </c>
    </row>
    <row r="17" spans="1:13" x14ac:dyDescent="0.25">
      <c r="A17" s="35">
        <v>15</v>
      </c>
      <c r="B17" s="36" t="s">
        <v>214</v>
      </c>
      <c r="C17" s="36" t="s">
        <v>215</v>
      </c>
      <c r="E17" s="60">
        <v>24</v>
      </c>
      <c r="F17" s="60">
        <v>26</v>
      </c>
      <c r="G17" s="60"/>
      <c r="I17" s="60">
        <v>3</v>
      </c>
      <c r="J17" s="60">
        <v>3</v>
      </c>
      <c r="K17" s="60"/>
      <c r="M17" s="60">
        <f t="shared" si="0"/>
        <v>8.3333333333333339</v>
      </c>
    </row>
    <row r="18" spans="1:13" x14ac:dyDescent="0.25">
      <c r="A18" s="40">
        <v>16</v>
      </c>
      <c r="B18" s="41" t="s">
        <v>216</v>
      </c>
      <c r="C18" s="41" t="s">
        <v>217</v>
      </c>
      <c r="E18" s="60">
        <v>20</v>
      </c>
      <c r="F18" s="60">
        <v>32</v>
      </c>
      <c r="G18" s="60"/>
      <c r="I18" s="60">
        <v>2</v>
      </c>
      <c r="J18" s="60">
        <v>3</v>
      </c>
      <c r="K18" s="60"/>
      <c r="M18" s="60">
        <f t="shared" si="0"/>
        <v>10.4</v>
      </c>
    </row>
    <row r="19" spans="1:13" x14ac:dyDescent="0.25">
      <c r="A19" s="35">
        <v>17</v>
      </c>
      <c r="B19" s="36" t="s">
        <v>218</v>
      </c>
      <c r="C19" s="36" t="s">
        <v>219</v>
      </c>
      <c r="E19" s="60">
        <v>21</v>
      </c>
      <c r="F19" s="60">
        <v>12</v>
      </c>
      <c r="G19" s="60"/>
      <c r="I19" s="60">
        <v>2</v>
      </c>
      <c r="J19" s="60">
        <v>1</v>
      </c>
      <c r="K19" s="60"/>
      <c r="M19" s="60">
        <f t="shared" si="0"/>
        <v>11</v>
      </c>
    </row>
    <row r="20" spans="1:13" x14ac:dyDescent="0.25">
      <c r="A20" s="40">
        <v>18</v>
      </c>
      <c r="B20" s="41" t="s">
        <v>220</v>
      </c>
      <c r="C20" s="41" t="s">
        <v>221</v>
      </c>
      <c r="E20" s="60">
        <v>28</v>
      </c>
      <c r="F20" s="60">
        <v>9</v>
      </c>
      <c r="G20" s="60"/>
      <c r="I20" s="60">
        <v>3</v>
      </c>
      <c r="J20" s="60">
        <v>1</v>
      </c>
      <c r="K20" s="60"/>
      <c r="M20" s="60">
        <f t="shared" si="0"/>
        <v>9.25</v>
      </c>
    </row>
    <row r="21" spans="1:13" x14ac:dyDescent="0.25">
      <c r="A21" s="35">
        <v>19</v>
      </c>
      <c r="B21" s="36" t="s">
        <v>222</v>
      </c>
      <c r="C21" s="36" t="s">
        <v>223</v>
      </c>
      <c r="E21" s="60">
        <v>173</v>
      </c>
      <c r="F21" s="60">
        <v>193</v>
      </c>
      <c r="G21" s="60"/>
      <c r="I21" s="60">
        <v>18</v>
      </c>
      <c r="J21" s="60">
        <v>18</v>
      </c>
      <c r="K21" s="60"/>
      <c r="M21" s="60">
        <f t="shared" si="0"/>
        <v>10.166666666666666</v>
      </c>
    </row>
    <row r="22" spans="1:13" x14ac:dyDescent="0.25">
      <c r="A22" s="40">
        <v>20</v>
      </c>
      <c r="B22" s="41" t="s">
        <v>224</v>
      </c>
      <c r="C22" s="41" t="s">
        <v>225</v>
      </c>
      <c r="E22" s="60">
        <v>63</v>
      </c>
      <c r="F22" s="60">
        <v>78</v>
      </c>
      <c r="G22" s="60"/>
      <c r="I22" s="60">
        <v>7</v>
      </c>
      <c r="J22" s="60">
        <v>7</v>
      </c>
      <c r="K22" s="60"/>
      <c r="M22" s="60">
        <f t="shared" si="0"/>
        <v>10.071428571428571</v>
      </c>
    </row>
    <row r="23" spans="1:13" x14ac:dyDescent="0.25">
      <c r="A23" s="35">
        <v>21</v>
      </c>
      <c r="B23" s="36" t="s">
        <v>226</v>
      </c>
      <c r="C23" s="46" t="s">
        <v>227</v>
      </c>
      <c r="E23" s="60">
        <v>8</v>
      </c>
      <c r="F23" s="60">
        <v>15</v>
      </c>
      <c r="G23" s="60"/>
      <c r="I23" s="60">
        <v>1</v>
      </c>
      <c r="J23" s="60">
        <v>2</v>
      </c>
      <c r="K23" s="60"/>
      <c r="M23" s="60">
        <f t="shared" si="0"/>
        <v>7.666666666666667</v>
      </c>
    </row>
    <row r="24" spans="1:13" x14ac:dyDescent="0.25">
      <c r="A24" s="40">
        <v>22</v>
      </c>
      <c r="B24" s="41" t="s">
        <v>228</v>
      </c>
      <c r="C24" s="41" t="s">
        <v>229</v>
      </c>
      <c r="E24" s="60">
        <v>15</v>
      </c>
      <c r="F24" s="60">
        <v>18</v>
      </c>
      <c r="G24" s="60"/>
      <c r="I24" s="60">
        <v>2</v>
      </c>
      <c r="J24" s="60">
        <v>2</v>
      </c>
      <c r="K24" s="60"/>
      <c r="M24" s="60">
        <f t="shared" si="0"/>
        <v>8.25</v>
      </c>
    </row>
    <row r="25" spans="1:13" x14ac:dyDescent="0.25">
      <c r="A25" s="35">
        <v>23</v>
      </c>
      <c r="B25" s="36" t="s">
        <v>230</v>
      </c>
      <c r="C25" s="36" t="s">
        <v>231</v>
      </c>
      <c r="E25" s="60">
        <v>118</v>
      </c>
      <c r="F25" s="60">
        <v>38</v>
      </c>
      <c r="G25" s="60"/>
      <c r="I25" s="60">
        <v>12</v>
      </c>
      <c r="J25" s="60">
        <v>4</v>
      </c>
      <c r="K25" s="60"/>
      <c r="M25" s="60">
        <f t="shared" si="0"/>
        <v>9.75</v>
      </c>
    </row>
    <row r="26" spans="1:13" x14ac:dyDescent="0.25">
      <c r="A26" s="35">
        <v>24</v>
      </c>
      <c r="B26" s="36" t="s">
        <v>232</v>
      </c>
      <c r="C26" s="36" t="s">
        <v>233</v>
      </c>
      <c r="E26" s="60">
        <v>7</v>
      </c>
      <c r="F26" s="60">
        <v>10</v>
      </c>
      <c r="G26" s="60"/>
      <c r="I26" s="60">
        <v>1</v>
      </c>
      <c r="J26" s="60">
        <v>1</v>
      </c>
      <c r="K26" s="60"/>
      <c r="M26" s="60">
        <f t="shared" si="0"/>
        <v>8.5</v>
      </c>
    </row>
    <row r="27" spans="1:13" x14ac:dyDescent="0.25">
      <c r="A27" s="40">
        <v>25</v>
      </c>
      <c r="B27" s="41" t="s">
        <v>234</v>
      </c>
      <c r="C27" s="41" t="s">
        <v>235</v>
      </c>
      <c r="E27" s="60">
        <v>42</v>
      </c>
      <c r="F27" s="60">
        <v>39</v>
      </c>
      <c r="G27" s="60"/>
      <c r="I27" s="60">
        <v>4</v>
      </c>
      <c r="J27" s="60">
        <v>4</v>
      </c>
      <c r="K27" s="60"/>
      <c r="M27" s="60">
        <f t="shared" si="0"/>
        <v>10.125</v>
      </c>
    </row>
    <row r="28" spans="1:13" x14ac:dyDescent="0.25">
      <c r="A28" s="35">
        <v>26</v>
      </c>
      <c r="B28" s="36" t="s">
        <v>236</v>
      </c>
      <c r="C28" s="36" t="s">
        <v>237</v>
      </c>
      <c r="E28" s="60">
        <v>33</v>
      </c>
      <c r="F28" s="60">
        <v>26</v>
      </c>
      <c r="G28" s="60"/>
      <c r="I28" s="60">
        <v>3</v>
      </c>
      <c r="J28" s="60">
        <v>3</v>
      </c>
      <c r="K28" s="60"/>
      <c r="M28" s="60">
        <f t="shared" si="0"/>
        <v>9.8333333333333339</v>
      </c>
    </row>
    <row r="29" spans="1:13" x14ac:dyDescent="0.25">
      <c r="A29" s="40">
        <v>27</v>
      </c>
      <c r="B29" s="41" t="s">
        <v>238</v>
      </c>
      <c r="C29" s="41" t="s">
        <v>238</v>
      </c>
      <c r="E29" s="60">
        <v>94</v>
      </c>
      <c r="F29" s="60">
        <v>64</v>
      </c>
      <c r="G29" s="60"/>
      <c r="I29" s="60">
        <v>10</v>
      </c>
      <c r="J29" s="60">
        <v>6</v>
      </c>
      <c r="K29" s="60"/>
      <c r="M29" s="60">
        <f t="shared" si="0"/>
        <v>9.875</v>
      </c>
    </row>
    <row r="30" spans="1:13" x14ac:dyDescent="0.25">
      <c r="A30" s="35">
        <v>28</v>
      </c>
      <c r="B30" s="36" t="s">
        <v>239</v>
      </c>
      <c r="C30" s="36" t="s">
        <v>240</v>
      </c>
      <c r="E30" s="60">
        <v>38</v>
      </c>
      <c r="F30" s="60"/>
      <c r="G30" s="60"/>
      <c r="I30" s="60">
        <v>4</v>
      </c>
      <c r="J30" s="60">
        <v>0</v>
      </c>
      <c r="K30" s="60"/>
      <c r="M30" s="60">
        <f t="shared" si="0"/>
        <v>9.5</v>
      </c>
    </row>
    <row r="31" spans="1:13" x14ac:dyDescent="0.25">
      <c r="A31" s="53">
        <v>29</v>
      </c>
      <c r="B31" s="61" t="s">
        <v>241</v>
      </c>
      <c r="C31" s="61" t="s">
        <v>242</v>
      </c>
      <c r="E31" s="60">
        <v>76</v>
      </c>
      <c r="F31" s="60">
        <v>53</v>
      </c>
      <c r="G31" s="60"/>
      <c r="I31" s="60">
        <v>8</v>
      </c>
      <c r="J31" s="60">
        <v>5</v>
      </c>
      <c r="K31" s="60"/>
      <c r="M31" s="60">
        <f>SUM($E31:$G31)/SUM(I31:K31)</f>
        <v>9.9230769230769234</v>
      </c>
    </row>
    <row r="32" spans="1:13" x14ac:dyDescent="0.25">
      <c r="A32" s="38">
        <v>30</v>
      </c>
      <c r="B32" s="60" t="s">
        <v>250</v>
      </c>
      <c r="C32" s="62" t="s">
        <v>244</v>
      </c>
      <c r="E32" s="60">
        <v>20</v>
      </c>
      <c r="F32" s="60">
        <v>90</v>
      </c>
      <c r="G32" s="60"/>
      <c r="I32" s="60">
        <v>2</v>
      </c>
      <c r="J32" s="60">
        <v>9</v>
      </c>
      <c r="K32" s="60"/>
      <c r="M32" s="60">
        <f t="shared" si="0"/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5571D-1D3F-445D-A233-58E4198F3388}">
  <sheetPr codeName="Blad2"/>
  <dimension ref="B2:H31"/>
  <sheetViews>
    <sheetView workbookViewId="0">
      <selection activeCell="F12" sqref="F12"/>
    </sheetView>
  </sheetViews>
  <sheetFormatPr defaultColWidth="9.109375" defaultRowHeight="13.8" x14ac:dyDescent="0.25"/>
  <cols>
    <col min="1" max="1" width="9.109375" style="67"/>
    <col min="2" max="2" width="5.6640625" style="67" customWidth="1"/>
    <col min="3" max="3" width="16.6640625" style="67" customWidth="1"/>
    <col min="4" max="4" width="24.6640625" style="67" customWidth="1"/>
    <col min="5" max="5" width="16.6640625" style="67" customWidth="1"/>
    <col min="6" max="6" width="24.6640625" style="67" customWidth="1"/>
    <col min="7" max="7" width="16.6640625" style="67" customWidth="1"/>
    <col min="8" max="16384" width="9.109375" style="67"/>
  </cols>
  <sheetData>
    <row r="2" spans="2:8" ht="18" x14ac:dyDescent="0.35">
      <c r="B2" s="63" t="str">
        <f>Scholen!B3</f>
        <v>Groep 3/4</v>
      </c>
      <c r="C2" s="64"/>
      <c r="D2" s="65">
        <f>Scholen!D3</f>
        <v>46127</v>
      </c>
      <c r="E2" s="66"/>
      <c r="H2" s="68"/>
    </row>
    <row r="4" spans="2:8" x14ac:dyDescent="0.25">
      <c r="B4" s="67" t="s">
        <v>11</v>
      </c>
      <c r="D4" s="67" t="s">
        <v>251</v>
      </c>
      <c r="F4" s="67" t="s">
        <v>251</v>
      </c>
    </row>
    <row r="6" spans="2:8" x14ac:dyDescent="0.25">
      <c r="B6" s="69">
        <v>1</v>
      </c>
      <c r="C6" s="67" t="str">
        <f>IF(Scholen!B8&lt;&gt;"",Scholen!B8,"")</f>
        <v>Meisjes</v>
      </c>
      <c r="D6" s="70" t="s">
        <v>252</v>
      </c>
      <c r="E6" s="71"/>
      <c r="F6" s="70" t="s">
        <v>253</v>
      </c>
      <c r="G6" s="71"/>
    </row>
    <row r="7" spans="2:8" x14ac:dyDescent="0.25">
      <c r="B7" s="69">
        <v>2</v>
      </c>
      <c r="C7" s="67" t="str">
        <f>IF(Scholen!D8&lt;&gt;"",Scholen!D8,"")</f>
        <v>Meisjes</v>
      </c>
      <c r="D7" s="70" t="s">
        <v>254</v>
      </c>
      <c r="E7" s="71"/>
      <c r="F7" s="70" t="s">
        <v>255</v>
      </c>
      <c r="G7" s="71"/>
    </row>
    <row r="8" spans="2:8" x14ac:dyDescent="0.25">
      <c r="B8" s="69">
        <v>3</v>
      </c>
      <c r="C8" s="67" t="str">
        <f>IF(Scholen!F8&lt;&gt;"",Scholen!F8,"")</f>
        <v>Gemengd</v>
      </c>
      <c r="D8" s="70" t="s">
        <v>256</v>
      </c>
      <c r="F8" s="70" t="s">
        <v>257</v>
      </c>
      <c r="G8" s="72"/>
    </row>
    <row r="9" spans="2:8" x14ac:dyDescent="0.25">
      <c r="B9" s="69">
        <v>4</v>
      </c>
      <c r="C9" s="67" t="str">
        <f>IF(Scholen!H8&lt;&gt;"",Scholen!H8,"")</f>
        <v>Gemengd</v>
      </c>
      <c r="D9" s="73" t="s">
        <v>258</v>
      </c>
      <c r="F9" s="74" t="s">
        <v>259</v>
      </c>
      <c r="G9" s="72"/>
    </row>
    <row r="10" spans="2:8" x14ac:dyDescent="0.25">
      <c r="B10" s="69">
        <v>5</v>
      </c>
      <c r="C10" s="67" t="str">
        <f>IF(Scholen!J8&lt;&gt;"",Scholen!J8,"")</f>
        <v>Gemengd</v>
      </c>
      <c r="D10" s="73" t="s">
        <v>260</v>
      </c>
      <c r="F10" s="70" t="s">
        <v>261</v>
      </c>
      <c r="G10" s="72"/>
    </row>
    <row r="11" spans="2:8" x14ac:dyDescent="0.25">
      <c r="B11" s="69">
        <v>6</v>
      </c>
      <c r="C11" s="67" t="str">
        <f>IF(Scholen!L8&lt;&gt;"",Scholen!L8,"")</f>
        <v>Gemengd</v>
      </c>
      <c r="D11" s="70" t="s">
        <v>262</v>
      </c>
      <c r="F11" s="70" t="s">
        <v>263</v>
      </c>
      <c r="G11" s="72"/>
    </row>
    <row r="12" spans="2:8" x14ac:dyDescent="0.25">
      <c r="B12" s="69">
        <v>7</v>
      </c>
      <c r="C12" s="67" t="str">
        <f>IF(Scholen!N8&lt;&gt;"",Scholen!N8,"")</f>
        <v>Jongens</v>
      </c>
      <c r="D12" s="70" t="s">
        <v>264</v>
      </c>
      <c r="F12" s="70" t="s">
        <v>265</v>
      </c>
      <c r="G12" s="72"/>
    </row>
    <row r="13" spans="2:8" x14ac:dyDescent="0.25">
      <c r="B13" s="69">
        <v>8</v>
      </c>
      <c r="C13" s="67" t="str">
        <f>IF(Scholen!P8&lt;&gt;"",Scholen!P8,"")</f>
        <v>Jongens</v>
      </c>
      <c r="D13" s="70" t="s">
        <v>266</v>
      </c>
      <c r="F13" s="70" t="s">
        <v>267</v>
      </c>
      <c r="G13" s="72"/>
    </row>
    <row r="14" spans="2:8" x14ac:dyDescent="0.25">
      <c r="B14" s="69">
        <v>9</v>
      </c>
      <c r="C14" s="67" t="str">
        <f>IF(Scholen!R8&lt;&gt;"",Scholen!R8,"")</f>
        <v>Jongens</v>
      </c>
      <c r="D14" s="70" t="s">
        <v>268</v>
      </c>
      <c r="F14" s="70" t="s">
        <v>269</v>
      </c>
      <c r="G14" s="72"/>
    </row>
    <row r="15" spans="2:8" x14ac:dyDescent="0.25">
      <c r="B15" s="69">
        <v>10</v>
      </c>
      <c r="C15" s="67" t="str">
        <f>IF(Scholen!B22&lt;&gt;"",Scholen!B22,"")</f>
        <v>Jongens</v>
      </c>
      <c r="D15" s="70" t="s">
        <v>270</v>
      </c>
      <c r="F15" s="70" t="s">
        <v>271</v>
      </c>
      <c r="G15" s="72"/>
    </row>
    <row r="16" spans="2:8" x14ac:dyDescent="0.25">
      <c r="B16" s="69">
        <v>11</v>
      </c>
      <c r="C16" s="67" t="str">
        <f>IF(Scholen!D22&lt;&gt;"",Scholen!D22,"")</f>
        <v>Jongens</v>
      </c>
      <c r="D16" s="70" t="s">
        <v>272</v>
      </c>
      <c r="F16" s="70" t="s">
        <v>273</v>
      </c>
      <c r="G16" s="72"/>
    </row>
    <row r="17" spans="2:7" x14ac:dyDescent="0.25">
      <c r="B17" s="69">
        <v>12</v>
      </c>
      <c r="C17" s="67" t="str">
        <f>IF(Scholen!F22&lt;&gt;"",Scholen!F22,"")</f>
        <v>Jongens</v>
      </c>
      <c r="D17" s="70" t="s">
        <v>274</v>
      </c>
      <c r="F17" s="70" t="s">
        <v>275</v>
      </c>
      <c r="G17" s="72"/>
    </row>
    <row r="18" spans="2:7" x14ac:dyDescent="0.25">
      <c r="B18" s="69">
        <v>13</v>
      </c>
      <c r="C18" s="67" t="str">
        <f>IF(Scholen!H22&lt;&gt;"",Scholen!H22,"")</f>
        <v>Jongens</v>
      </c>
      <c r="D18" s="70" t="s">
        <v>276</v>
      </c>
      <c r="F18" s="70" t="s">
        <v>277</v>
      </c>
      <c r="G18" s="72"/>
    </row>
    <row r="19" spans="2:7" x14ac:dyDescent="0.25">
      <c r="B19" s="69">
        <v>14</v>
      </c>
      <c r="C19" s="67" t="str">
        <f>IF(Scholen!J22&lt;&gt;"",Scholen!J22,"")</f>
        <v>Jongens</v>
      </c>
      <c r="D19" s="70" t="s">
        <v>278</v>
      </c>
      <c r="F19" s="70" t="s">
        <v>279</v>
      </c>
      <c r="G19" s="72"/>
    </row>
    <row r="20" spans="2:7" x14ac:dyDescent="0.25">
      <c r="B20" s="69">
        <v>15</v>
      </c>
      <c r="C20" s="67" t="str">
        <f>IF(Scholen!L22&lt;&gt;"",Scholen!L22,"")</f>
        <v>Jongens</v>
      </c>
      <c r="D20" s="70" t="s">
        <v>280</v>
      </c>
      <c r="F20" s="70" t="s">
        <v>281</v>
      </c>
      <c r="G20" s="72"/>
    </row>
    <row r="21" spans="2:7" x14ac:dyDescent="0.25">
      <c r="B21" s="69">
        <v>16</v>
      </c>
      <c r="C21" s="67" t="str">
        <f>IF(Scholen!N22&lt;&gt;"",Scholen!N22,"")</f>
        <v/>
      </c>
      <c r="D21" s="70"/>
      <c r="F21" s="70"/>
      <c r="G21" s="72"/>
    </row>
    <row r="22" spans="2:7" x14ac:dyDescent="0.25">
      <c r="B22" s="69">
        <v>17</v>
      </c>
      <c r="C22" s="67" t="str">
        <f>IF(Scholen!P22&lt;&gt;"",Scholen!P22,"")</f>
        <v/>
      </c>
      <c r="D22" s="70"/>
      <c r="F22" s="70"/>
      <c r="G22" s="72"/>
    </row>
    <row r="23" spans="2:7" x14ac:dyDescent="0.25">
      <c r="B23" s="69">
        <v>18</v>
      </c>
      <c r="C23" s="67" t="str">
        <f>IF(Scholen!R22&lt;&gt;"",Scholen!R22,"")</f>
        <v/>
      </c>
      <c r="D23" s="70"/>
      <c r="F23" s="73"/>
      <c r="G23" s="71"/>
    </row>
    <row r="24" spans="2:7" x14ac:dyDescent="0.25">
      <c r="B24" s="69">
        <v>19</v>
      </c>
      <c r="C24" s="67" t="str">
        <f>IF(Scholen!B36&lt;&gt;"",Scholen!B36,"")</f>
        <v/>
      </c>
      <c r="D24" s="70"/>
      <c r="F24" s="70"/>
    </row>
    <row r="25" spans="2:7" x14ac:dyDescent="0.25">
      <c r="B25" s="69">
        <v>20</v>
      </c>
      <c r="C25" s="67" t="str">
        <f>IF(Scholen!D36&lt;&gt;"",Scholen!D36,"")</f>
        <v/>
      </c>
      <c r="D25" s="70"/>
      <c r="F25" s="70"/>
    </row>
    <row r="26" spans="2:7" x14ac:dyDescent="0.25">
      <c r="B26" s="69">
        <v>21</v>
      </c>
      <c r="C26" s="67" t="str">
        <f>IF(Scholen!F36&lt;&gt;"",Scholen!F36,"")</f>
        <v/>
      </c>
      <c r="D26" s="75"/>
      <c r="F26" s="75"/>
    </row>
    <row r="27" spans="2:7" x14ac:dyDescent="0.25">
      <c r="B27" s="69">
        <v>22</v>
      </c>
      <c r="C27" s="67" t="str">
        <f>IF(Scholen!H36&lt;&gt;"",Scholen!H36,"")</f>
        <v/>
      </c>
      <c r="D27" s="75"/>
      <c r="F27" s="75"/>
    </row>
    <row r="28" spans="2:7" x14ac:dyDescent="0.25">
      <c r="B28" s="69">
        <v>23</v>
      </c>
      <c r="C28" s="67" t="str">
        <f>IF(Scholen!J36&lt;&gt;"",Scholen!J36,"")</f>
        <v/>
      </c>
      <c r="D28" s="75"/>
      <c r="F28" s="75"/>
    </row>
    <row r="29" spans="2:7" x14ac:dyDescent="0.25">
      <c r="B29" s="69">
        <v>24</v>
      </c>
      <c r="C29" s="67" t="str">
        <f>IF(Scholen!L36&lt;&gt;"",Scholen!L36,"")</f>
        <v/>
      </c>
      <c r="D29" s="75"/>
      <c r="F29" s="75"/>
    </row>
    <row r="30" spans="2:7" x14ac:dyDescent="0.25">
      <c r="B30" s="69">
        <v>25</v>
      </c>
      <c r="C30" s="67" t="str">
        <f>IF(Scholen!N36&lt;&gt;"",Scholen!N36,"")</f>
        <v/>
      </c>
      <c r="D30" s="75"/>
      <c r="F30" s="75"/>
    </row>
    <row r="31" spans="2:7" x14ac:dyDescent="0.25">
      <c r="B31" s="69">
        <v>26</v>
      </c>
      <c r="C31" s="67" t="str">
        <f>IF(Scholen!P36&lt;&gt;"",Scholen!P36,"")</f>
        <v/>
      </c>
      <c r="D31" s="75"/>
      <c r="F31" s="75"/>
    </row>
  </sheetData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3A8A9-4B1E-49D5-8FA1-FC16376DD7A0}">
  <sheetPr codeName="Blad3"/>
  <dimension ref="A1:X48"/>
  <sheetViews>
    <sheetView topLeftCell="A33"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Scholen!$B$8</f>
        <v>Meisjes</v>
      </c>
      <c r="F8" s="81"/>
      <c r="G8" s="81"/>
      <c r="H8" s="82" t="s">
        <v>1</v>
      </c>
      <c r="I8" s="83" t="s">
        <v>2</v>
      </c>
      <c r="J8" s="81" t="s">
        <v>11</v>
      </c>
      <c r="K8" s="84">
        <f>Scholen!$C$7</f>
        <v>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Maan M1</v>
      </c>
      <c r="F11" s="107"/>
      <c r="G11" s="104" t="s">
        <v>294</v>
      </c>
      <c r="H11" s="107" t="str">
        <f>$A$42</f>
        <v>Galjoen M1</v>
      </c>
      <c r="I11" s="108"/>
      <c r="J11" s="109">
        <v>0</v>
      </c>
      <c r="K11" s="110" t="s">
        <v>294</v>
      </c>
      <c r="L11" s="111">
        <v>3</v>
      </c>
      <c r="M11" s="112" t="str">
        <f>Scheids!$D$6</f>
        <v>Ruud van Oosten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M1</v>
      </c>
      <c r="F12" s="121"/>
      <c r="G12" s="118" t="s">
        <v>294</v>
      </c>
      <c r="H12" s="121" t="str">
        <f>$A$44</f>
        <v>Maan M2</v>
      </c>
      <c r="I12" s="122"/>
      <c r="J12" s="123">
        <v>0</v>
      </c>
      <c r="K12" s="124" t="s">
        <v>294</v>
      </c>
      <c r="L12" s="125">
        <v>1</v>
      </c>
      <c r="M12" s="126" t="str">
        <f>Scheids!$D$6</f>
        <v>Ruud van Oosten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M1</v>
      </c>
      <c r="F13" s="121"/>
      <c r="G13" s="118" t="s">
        <v>294</v>
      </c>
      <c r="H13" s="121" t="str">
        <f>$A$46</f>
        <v>Maan M3</v>
      </c>
      <c r="I13" s="122"/>
      <c r="J13" s="123">
        <v>0</v>
      </c>
      <c r="K13" s="124" t="s">
        <v>294</v>
      </c>
      <c r="L13" s="125">
        <v>1</v>
      </c>
      <c r="M13" s="126" t="str">
        <f>Scheids!$D$6</f>
        <v>Ruud van Oosten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30" t="str">
        <f>$A$47</f>
        <v>Cornelis M1</v>
      </c>
      <c r="F14" s="121"/>
      <c r="G14" s="118" t="s">
        <v>294</v>
      </c>
      <c r="H14" s="121" t="str">
        <f>$A$48</f>
        <v>BMS M1</v>
      </c>
      <c r="I14" s="122"/>
      <c r="J14" s="123">
        <v>6</v>
      </c>
      <c r="K14" s="124" t="s">
        <v>294</v>
      </c>
      <c r="L14" s="125">
        <v>0</v>
      </c>
      <c r="M14" s="126" t="str">
        <f>Scheids!$F$6</f>
        <v>Guus Heemskerk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Galjoen M1</v>
      </c>
      <c r="F15" s="121"/>
      <c r="G15" s="118" t="s">
        <v>294</v>
      </c>
      <c r="H15" s="121" t="str">
        <f>$A$43</f>
        <v>Maria M1</v>
      </c>
      <c r="I15" s="122"/>
      <c r="J15" s="123">
        <v>4</v>
      </c>
      <c r="K15" s="124" t="s">
        <v>294</v>
      </c>
      <c r="L15" s="125">
        <v>0</v>
      </c>
      <c r="M15" s="126" t="str">
        <f>Scheids!$F$6</f>
        <v>Guus Heemskerk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M2</v>
      </c>
      <c r="F16" s="121"/>
      <c r="G16" s="118" t="s">
        <v>294</v>
      </c>
      <c r="H16" s="121" t="str">
        <f>$A$45</f>
        <v>Maurits M1</v>
      </c>
      <c r="I16" s="122"/>
      <c r="J16" s="123">
        <v>2</v>
      </c>
      <c r="K16" s="124" t="s">
        <v>294</v>
      </c>
      <c r="L16" s="125">
        <v>0</v>
      </c>
      <c r="M16" s="126" t="str">
        <f>Scheids!$F$6</f>
        <v>Guus Heemskerk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M3</v>
      </c>
      <c r="F17" s="121"/>
      <c r="G17" s="118" t="s">
        <v>294</v>
      </c>
      <c r="H17" s="121" t="str">
        <f>$A$47</f>
        <v>Cornelis M1</v>
      </c>
      <c r="I17" s="122"/>
      <c r="J17" s="123">
        <v>0</v>
      </c>
      <c r="K17" s="124" t="s">
        <v>294</v>
      </c>
      <c r="L17" s="125">
        <v>2</v>
      </c>
      <c r="M17" s="126" t="str">
        <f>Scheids!$D$6</f>
        <v>Ruud van Oosten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BMS M1</v>
      </c>
      <c r="F18" s="121"/>
      <c r="G18" s="118" t="s">
        <v>294</v>
      </c>
      <c r="H18" s="121" t="str">
        <f>$A$41</f>
        <v>Maan M1</v>
      </c>
      <c r="I18" s="122"/>
      <c r="J18" s="123">
        <v>3</v>
      </c>
      <c r="K18" s="124" t="s">
        <v>294</v>
      </c>
      <c r="L18" s="125">
        <v>0</v>
      </c>
      <c r="M18" s="126" t="str">
        <f>Scheids!$D$6</f>
        <v>Ruud van Oosten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M2</v>
      </c>
      <c r="F19" s="121"/>
      <c r="G19" s="118" t="s">
        <v>294</v>
      </c>
      <c r="H19" s="121" t="str">
        <f>$A$42</f>
        <v>Galjoen M1</v>
      </c>
      <c r="I19" s="122"/>
      <c r="J19" s="123">
        <v>0</v>
      </c>
      <c r="K19" s="124" t="s">
        <v>294</v>
      </c>
      <c r="L19" s="125">
        <v>2</v>
      </c>
      <c r="M19" s="126" t="str">
        <f>Scheids!$D$6</f>
        <v>Ruud van Oosten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M1</v>
      </c>
      <c r="F20" s="121"/>
      <c r="G20" s="118" t="s">
        <v>294</v>
      </c>
      <c r="H20" s="121" t="str">
        <f>$A$45</f>
        <v>Maurits M1</v>
      </c>
      <c r="I20" s="122"/>
      <c r="J20" s="123">
        <v>0</v>
      </c>
      <c r="K20" s="124" t="s">
        <v>294</v>
      </c>
      <c r="L20" s="125">
        <v>0</v>
      </c>
      <c r="M20" s="126" t="str">
        <f>Scheids!$F$6</f>
        <v>Guus Heemskerk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Maan M1</v>
      </c>
      <c r="F21" s="121"/>
      <c r="G21" s="118" t="s">
        <v>294</v>
      </c>
      <c r="H21" s="121" t="str">
        <f>$A$47</f>
        <v>Cornelis M1</v>
      </c>
      <c r="I21" s="122"/>
      <c r="J21" s="123">
        <v>0</v>
      </c>
      <c r="K21" s="124" t="s">
        <v>294</v>
      </c>
      <c r="L21" s="125">
        <v>3</v>
      </c>
      <c r="M21" s="126" t="str">
        <f>Scheids!$F$6</f>
        <v>Guus Heemskerk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Maan M3</v>
      </c>
      <c r="F22" s="121"/>
      <c r="G22" s="118" t="s">
        <v>294</v>
      </c>
      <c r="H22" s="121" t="str">
        <f>$A$48</f>
        <v>BMS M1</v>
      </c>
      <c r="I22" s="122"/>
      <c r="J22" s="123">
        <v>0</v>
      </c>
      <c r="K22" s="124" t="s">
        <v>294</v>
      </c>
      <c r="L22" s="125">
        <v>0</v>
      </c>
      <c r="M22" s="126" t="str">
        <f>Scheids!$F$6</f>
        <v>Guus Heemskerk</v>
      </c>
      <c r="N22" s="127"/>
      <c r="O22" s="128"/>
      <c r="Q22" s="129">
        <v>2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Maan M1</v>
      </c>
      <c r="F23" s="121"/>
      <c r="G23" s="118" t="s">
        <v>294</v>
      </c>
      <c r="H23" s="121" t="str">
        <f>$A$43</f>
        <v>Maria M1</v>
      </c>
      <c r="I23" s="122"/>
      <c r="J23" s="123">
        <v>0</v>
      </c>
      <c r="K23" s="124" t="s">
        <v>294</v>
      </c>
      <c r="L23" s="125">
        <v>3</v>
      </c>
      <c r="M23" s="126" t="str">
        <f>Scheids!$D$6</f>
        <v>Ruud van Oosten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M3</v>
      </c>
      <c r="F24" s="121"/>
      <c r="G24" s="118" t="s">
        <v>294</v>
      </c>
      <c r="H24" s="121" t="str">
        <f>$A$44</f>
        <v>Maan M2</v>
      </c>
      <c r="I24" s="122"/>
      <c r="J24" s="123">
        <v>1</v>
      </c>
      <c r="K24" s="124" t="s">
        <v>294</v>
      </c>
      <c r="L24" s="125">
        <v>2</v>
      </c>
      <c r="M24" s="126" t="str">
        <f>Scheids!$D$6</f>
        <v>Ruud van Oosten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Galjoen M1</v>
      </c>
      <c r="F25" s="121"/>
      <c r="G25" s="118" t="s">
        <v>294</v>
      </c>
      <c r="H25" s="121" t="str">
        <f>$A$47</f>
        <v>Cornelis M1</v>
      </c>
      <c r="I25" s="122"/>
      <c r="J25" s="123">
        <v>0</v>
      </c>
      <c r="K25" s="124" t="s">
        <v>294</v>
      </c>
      <c r="L25" s="125">
        <v>3</v>
      </c>
      <c r="M25" s="126" t="str">
        <f>Scheids!$D$6</f>
        <v>Ruud van Oosten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Maurits M1</v>
      </c>
      <c r="F26" s="121"/>
      <c r="G26" s="118" t="s">
        <v>294</v>
      </c>
      <c r="H26" s="121" t="str">
        <f>$A$48</f>
        <v>BMS M1</v>
      </c>
      <c r="I26" s="122"/>
      <c r="J26" s="123">
        <v>0</v>
      </c>
      <c r="K26" s="124" t="s">
        <v>294</v>
      </c>
      <c r="L26" s="125">
        <v>0</v>
      </c>
      <c r="M26" s="126" t="str">
        <f>Scheids!$F$6</f>
        <v>Guus Heemskerk</v>
      </c>
      <c r="N26" s="127"/>
      <c r="O26" s="128"/>
      <c r="Q26" s="129">
        <v>1</v>
      </c>
      <c r="R26" s="129">
        <v>1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M1</v>
      </c>
      <c r="F27" s="121"/>
      <c r="G27" s="118" t="s">
        <v>294</v>
      </c>
      <c r="H27" s="121" t="str">
        <f>$A$46</f>
        <v>Maan M3</v>
      </c>
      <c r="I27" s="122"/>
      <c r="J27" s="123">
        <v>1</v>
      </c>
      <c r="K27" s="124" t="s">
        <v>294</v>
      </c>
      <c r="L27" s="125">
        <v>0</v>
      </c>
      <c r="M27" s="126" t="str">
        <f>Scheids!$F$6</f>
        <v>Guus Heemskerk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Galjoen M1</v>
      </c>
      <c r="F28" s="121"/>
      <c r="G28" s="118" t="s">
        <v>294</v>
      </c>
      <c r="H28" s="121" t="str">
        <f>$A$48</f>
        <v>BMS M1</v>
      </c>
      <c r="I28" s="122"/>
      <c r="J28" s="123">
        <v>1</v>
      </c>
      <c r="K28" s="124" t="s">
        <v>294</v>
      </c>
      <c r="L28" s="125">
        <v>0</v>
      </c>
      <c r="M28" s="126" t="str">
        <f>Scheids!$F$6</f>
        <v>Guus Heemskerk</v>
      </c>
      <c r="N28" s="127"/>
      <c r="O28" s="128"/>
      <c r="Q28" s="129">
        <v>1</v>
      </c>
      <c r="R28" s="129">
        <v>1</v>
      </c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M2</v>
      </c>
      <c r="F29" s="121"/>
      <c r="G29" s="118" t="s">
        <v>294</v>
      </c>
      <c r="H29" s="121" t="str">
        <f>$A$41</f>
        <v>Maan M1</v>
      </c>
      <c r="I29" s="122"/>
      <c r="J29" s="123">
        <v>3</v>
      </c>
      <c r="K29" s="124" t="s">
        <v>294</v>
      </c>
      <c r="L29" s="125">
        <v>0</v>
      </c>
      <c r="M29" s="126" t="str">
        <f>Scheids!$D$6</f>
        <v>Ruud van Oosten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M1</v>
      </c>
      <c r="F30" s="121"/>
      <c r="G30" s="118" t="s">
        <v>294</v>
      </c>
      <c r="H30" s="121" t="str">
        <f>$A$45</f>
        <v>Maurits M1</v>
      </c>
      <c r="I30" s="122"/>
      <c r="J30" s="123">
        <v>3</v>
      </c>
      <c r="K30" s="124" t="s">
        <v>294</v>
      </c>
      <c r="L30" s="125">
        <v>0</v>
      </c>
      <c r="M30" s="126" t="str">
        <f>Scheids!$D$6</f>
        <v>Ruud van Oosten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BMS M1</v>
      </c>
      <c r="F31" s="121"/>
      <c r="G31" s="118" t="s">
        <v>294</v>
      </c>
      <c r="H31" s="121" t="str">
        <f>$A$44</f>
        <v>Maan M2</v>
      </c>
      <c r="I31" s="122"/>
      <c r="J31" s="123">
        <v>0</v>
      </c>
      <c r="K31" s="124" t="s">
        <v>294</v>
      </c>
      <c r="L31" s="125">
        <v>0</v>
      </c>
      <c r="M31" s="126" t="str">
        <f>Scheids!$D$6</f>
        <v>Ruud van Oosten</v>
      </c>
      <c r="N31" s="127"/>
      <c r="O31" s="128"/>
      <c r="Q31" s="129">
        <v>2</v>
      </c>
      <c r="R31" s="129">
        <v>2</v>
      </c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M1</v>
      </c>
      <c r="F32" s="121"/>
      <c r="G32" s="118" t="s">
        <v>294</v>
      </c>
      <c r="H32" s="121" t="str">
        <f>$A$47</f>
        <v>Cornelis M1</v>
      </c>
      <c r="I32" s="122"/>
      <c r="J32" s="123">
        <v>0</v>
      </c>
      <c r="K32" s="124" t="s">
        <v>294</v>
      </c>
      <c r="L32" s="125">
        <v>6</v>
      </c>
      <c r="M32" s="126" t="str">
        <f>Scheids!$F$6</f>
        <v>Guus Heemskerk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Galjoen M1</v>
      </c>
      <c r="F33" s="121"/>
      <c r="G33" s="118" t="s">
        <v>294</v>
      </c>
      <c r="H33" s="121" t="str">
        <f>$A$46</f>
        <v>Maan M3</v>
      </c>
      <c r="I33" s="122"/>
      <c r="J33" s="123">
        <v>1</v>
      </c>
      <c r="K33" s="124" t="s">
        <v>294</v>
      </c>
      <c r="L33" s="125">
        <v>0</v>
      </c>
      <c r="M33" s="126" t="str">
        <f>Scheids!$F$6</f>
        <v>Guus Heemskerk</v>
      </c>
      <c r="N33" s="127"/>
      <c r="O33" s="128"/>
      <c r="Q33" s="129">
        <v>2</v>
      </c>
      <c r="R33" s="129">
        <v>2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Maan M1</v>
      </c>
      <c r="F34" s="121"/>
      <c r="G34" s="118" t="s">
        <v>294</v>
      </c>
      <c r="H34" s="121" t="str">
        <f>$A$45</f>
        <v>Maurits M1</v>
      </c>
      <c r="I34" s="122"/>
      <c r="J34" s="123">
        <v>0</v>
      </c>
      <c r="K34" s="124" t="s">
        <v>294</v>
      </c>
      <c r="L34" s="125">
        <v>3</v>
      </c>
      <c r="M34" s="126" t="str">
        <f>Scheids!$F$6</f>
        <v>Guus Heemskerk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BMS M1</v>
      </c>
      <c r="F35" s="121"/>
      <c r="G35" s="118" t="s">
        <v>294</v>
      </c>
      <c r="H35" s="121" t="str">
        <f>$A$43</f>
        <v>Maria M1</v>
      </c>
      <c r="I35" s="122"/>
      <c r="J35" s="123"/>
      <c r="K35" s="124" t="s">
        <v>294</v>
      </c>
      <c r="L35" s="125"/>
      <c r="M35" s="126" t="str">
        <f>Scheids!$D$6</f>
        <v>Ruud van Oosten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M3</v>
      </c>
      <c r="F36" s="121"/>
      <c r="G36" s="118" t="s">
        <v>294</v>
      </c>
      <c r="H36" s="121" t="str">
        <f>$A$41</f>
        <v>Maan M1</v>
      </c>
      <c r="I36" s="122"/>
      <c r="J36" s="123"/>
      <c r="K36" s="124" t="s">
        <v>294</v>
      </c>
      <c r="L36" s="125"/>
      <c r="M36" s="126" t="str">
        <f>Scheids!$D$6</f>
        <v>Ruud van Oosten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M1</v>
      </c>
      <c r="F37" s="121"/>
      <c r="G37" s="118" t="s">
        <v>294</v>
      </c>
      <c r="H37" s="121" t="str">
        <f>$A$42</f>
        <v>Galjoen M1</v>
      </c>
      <c r="I37" s="122"/>
      <c r="J37" s="123"/>
      <c r="K37" s="124" t="s">
        <v>294</v>
      </c>
      <c r="L37" s="125"/>
      <c r="M37" s="126" t="str">
        <f>Scheids!$F$6</f>
        <v>Guus Heemskerk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M1</v>
      </c>
      <c r="F38" s="136"/>
      <c r="G38" s="133" t="s">
        <v>294</v>
      </c>
      <c r="H38" s="136" t="str">
        <f>$A$44</f>
        <v>Maan M2</v>
      </c>
      <c r="I38" s="137"/>
      <c r="J38" s="138"/>
      <c r="K38" s="139" t="s">
        <v>294</v>
      </c>
      <c r="L38" s="140"/>
      <c r="M38" s="141" t="str">
        <f>Scheids!$F$6</f>
        <v>Guus Heemskerk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Scholen!$B$10</f>
        <v>Maan M1</v>
      </c>
      <c r="B41" s="155"/>
      <c r="C41" s="155"/>
      <c r="D41" s="156"/>
      <c r="E41" s="157">
        <f>IF(AND($J$11&lt;&gt;"", $L$11&lt;&gt;""),IF($J$11&gt;$L$11,3,IF($J$11=$L$11,1,0)),"")</f>
        <v>0</v>
      </c>
      <c r="F41" s="157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>
        <f>IF(AND($J$34&lt;&gt;"",$L$34&lt;&gt;""),IF($J$34&gt;$L$34,3,IF($J$34=$L$34,1,0)),"")</f>
        <v>0</v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0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6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18</v>
      </c>
      <c r="W41" s="152">
        <f>Q11+R18+Q21+Q23+R29+Q34+R36</f>
        <v>11</v>
      </c>
      <c r="X41" s="129">
        <f t="shared" ref="X41:X48" si="1">IF(Y41="",IF(O41&lt;&gt;"",_xlfn.RANK.EQ(O41,$O$41:$O$48),""),Y41)</f>
        <v>8</v>
      </c>
    </row>
    <row r="42" spans="1:24" ht="18.75" customHeight="1" x14ac:dyDescent="0.3">
      <c r="A42" s="159" t="str">
        <f>Scholen!$B$11</f>
        <v>Galjoen M1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58"/>
      <c r="K42" s="156">
        <f>IF(AND($J$28&lt;&gt;"",$L$28&lt;&gt;""),IF($J$28&gt;$L$28,3,IF($J$28=$L$28,1,0)),"")</f>
        <v>3</v>
      </c>
      <c r="L42" s="158"/>
      <c r="M42" s="156">
        <f>IF(AND($J$33&lt;&gt;"",$L$33&lt;&gt;""),IF($J$33&gt;$L$33,3,IF($J$33=$L$33,1,0)),"")</f>
        <v>3</v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15</v>
      </c>
      <c r="Q42" s="152">
        <f t="shared" si="0"/>
        <v>6</v>
      </c>
      <c r="R42" s="152">
        <f t="shared" ref="R42:R48" si="2">COUNTIFS(E42:N42,3)</f>
        <v>5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11</v>
      </c>
      <c r="V42" s="152">
        <f>J11+L15+J19+L25+L28+L33+J37</f>
        <v>3</v>
      </c>
      <c r="W42" s="152">
        <f>R11+Q15+R19+Q25+Q28+Q33+R37</f>
        <v>11</v>
      </c>
      <c r="X42" s="129">
        <f t="shared" si="1"/>
        <v>2</v>
      </c>
    </row>
    <row r="43" spans="1:24" ht="18.75" customHeight="1" x14ac:dyDescent="0.3">
      <c r="A43" s="154" t="str">
        <f>Scholen!$B$12</f>
        <v>Maria M1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0</v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7</v>
      </c>
      <c r="Q43" s="152">
        <f t="shared" si="0"/>
        <v>6</v>
      </c>
      <c r="R43" s="152">
        <f t="shared" si="2"/>
        <v>2</v>
      </c>
      <c r="S43" s="152">
        <f t="shared" si="3"/>
        <v>3</v>
      </c>
      <c r="T43" s="152">
        <f t="shared" si="4"/>
        <v>1</v>
      </c>
      <c r="U43" s="152">
        <f>J12+L15+J20+L23+J27+J32+L35</f>
        <v>4</v>
      </c>
      <c r="V43" s="152">
        <f>L12+J15+L20+J23+L27+L32+J35</f>
        <v>11</v>
      </c>
      <c r="W43" s="152">
        <f>Q12+R15+Q20+R23+Q27+Q32+R35</f>
        <v>10</v>
      </c>
      <c r="X43" s="129">
        <f t="shared" si="1"/>
        <v>4</v>
      </c>
    </row>
    <row r="44" spans="1:24" ht="18.75" customHeight="1" x14ac:dyDescent="0.3">
      <c r="A44" s="161" t="str">
        <f>Scholen!$B$13</f>
        <v>Maan M2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3</v>
      </c>
      <c r="L44" s="158"/>
      <c r="M44" s="156">
        <f>IF(AND($J$31&lt;&gt;"",$L$31&lt;&gt;""),IF($J$31&lt;$L$31,3,IF($J$31=$L$31,1,0)),"")</f>
        <v>1</v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13</v>
      </c>
      <c r="Q44" s="152">
        <f t="shared" si="0"/>
        <v>6</v>
      </c>
      <c r="R44" s="152">
        <f t="shared" si="2"/>
        <v>4</v>
      </c>
      <c r="S44" s="152">
        <f t="shared" si="3"/>
        <v>1</v>
      </c>
      <c r="T44" s="152">
        <f t="shared" si="4"/>
        <v>1</v>
      </c>
      <c r="U44" s="152">
        <f>L12+J16+J19+L24+J29+L31+L38</f>
        <v>8</v>
      </c>
      <c r="V44" s="152">
        <f>J12+L16+L19+J24+L29+J31+J38</f>
        <v>3</v>
      </c>
      <c r="W44" s="152">
        <f>R12+Q16+Q19+R24+Q29+R31+R38</f>
        <v>12</v>
      </c>
      <c r="X44" s="129">
        <f t="shared" si="1"/>
        <v>3</v>
      </c>
    </row>
    <row r="45" spans="1:24" ht="18.75" customHeight="1" x14ac:dyDescent="0.3">
      <c r="A45" s="154" t="str">
        <f>Scholen!$B$14</f>
        <v>Maurits M1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3">
        <f>IF(AND($J$26&lt;&gt;"",$L$26&lt;&gt;""),IF($J$26&gt;$L$26,3,IF($J$26=$L$26,1,0)),"")</f>
        <v>1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5</v>
      </c>
      <c r="Q45" s="152">
        <f t="shared" si="0"/>
        <v>6</v>
      </c>
      <c r="R45" s="152">
        <f t="shared" si="2"/>
        <v>1</v>
      </c>
      <c r="S45" s="152">
        <f t="shared" si="3"/>
        <v>3</v>
      </c>
      <c r="T45" s="152">
        <f t="shared" si="4"/>
        <v>2</v>
      </c>
      <c r="U45" s="152">
        <f>J13+L16+L20+J26+L30+L34+J37</f>
        <v>3</v>
      </c>
      <c r="V45" s="152">
        <f>L13+J16+J20+L26+J30+J34+L37</f>
        <v>6</v>
      </c>
      <c r="W45" s="152">
        <f>Q13+R16+R20+Q26+R30+R34+Q37</f>
        <v>10</v>
      </c>
      <c r="X45" s="129">
        <f t="shared" si="1"/>
        <v>6</v>
      </c>
    </row>
    <row r="46" spans="1:24" ht="18.75" customHeight="1" x14ac:dyDescent="0.3">
      <c r="A46" s="154" t="str">
        <f>Scholen!$B$15</f>
        <v>Maan M3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1</v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0</v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4</v>
      </c>
      <c r="Q46" s="152">
        <f t="shared" si="0"/>
        <v>6</v>
      </c>
      <c r="R46" s="152">
        <f t="shared" si="2"/>
        <v>1</v>
      </c>
      <c r="S46" s="152">
        <f t="shared" si="3"/>
        <v>4</v>
      </c>
      <c r="T46" s="152">
        <f t="shared" si="4"/>
        <v>1</v>
      </c>
      <c r="U46" s="152">
        <f>L13+J17+J22+J24+L27+L33+J36</f>
        <v>2</v>
      </c>
      <c r="V46" s="152">
        <f>J13+L17+L22+L24+J27+J33+L36</f>
        <v>6</v>
      </c>
      <c r="W46" s="152">
        <f>R13+Q17+Q22+Q24+R27+R33+Q36</f>
        <v>11</v>
      </c>
      <c r="X46" s="129">
        <f t="shared" si="1"/>
        <v>7</v>
      </c>
    </row>
    <row r="47" spans="1:24" ht="18.75" customHeight="1" x14ac:dyDescent="0.3">
      <c r="A47" s="154" t="str">
        <f>IF(Scholen!$B$16&lt;&gt;"",Scholen!$B$16,"")</f>
        <v>Cornelis M1</v>
      </c>
      <c r="B47" s="155"/>
      <c r="C47" s="155"/>
      <c r="D47" s="156"/>
      <c r="E47" s="157">
        <f>IF(AND($J$14&lt;&gt;"",$L$14&lt;&gt;""),IF($J$14&gt;$L$14,3,IF($J$14=$L$14,1,0)),"")</f>
        <v>3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18</v>
      </c>
      <c r="Q47" s="152">
        <f t="shared" si="0"/>
        <v>6</v>
      </c>
      <c r="R47" s="152">
        <f t="shared" si="2"/>
        <v>6</v>
      </c>
      <c r="S47" s="152">
        <f t="shared" si="3"/>
        <v>0</v>
      </c>
      <c r="T47" s="152">
        <f t="shared" si="4"/>
        <v>0</v>
      </c>
      <c r="U47" s="152">
        <f>J14+L17+L21+L25+J30+L32+J38</f>
        <v>23</v>
      </c>
      <c r="V47" s="152">
        <f>L14+J17+J21+J25+L30+J32+L38</f>
        <v>0</v>
      </c>
      <c r="W47" s="152">
        <f>Q14+R17+R21+R25+Q30+R32+Q38</f>
        <v>11</v>
      </c>
      <c r="X47" s="129">
        <f t="shared" si="1"/>
        <v>1</v>
      </c>
    </row>
    <row r="48" spans="1:24" ht="18.75" customHeight="1" x14ac:dyDescent="0.3">
      <c r="A48" s="154" t="str">
        <f>IF(Scholen!$B$17&lt;&gt;"",Scholen!$B$17,"")</f>
        <v>BMS M1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1</v>
      </c>
      <c r="I48" s="165">
        <f>IF(AND($J$26&lt;&gt;"",$L$26&lt;&gt;""),IF($J$26&lt;$L$26,3,IF($J$26=$L$26,1,0)),"")</f>
        <v>1</v>
      </c>
      <c r="J48" s="141"/>
      <c r="K48" s="143">
        <f>IF(AND($J$28&lt;&gt;"",$L$28&lt;&gt;""),IF($J$28&lt;$L$28,3,IF($J$28=$L$28,1,0)),"")</f>
        <v>0</v>
      </c>
      <c r="L48" s="141"/>
      <c r="M48" s="142">
        <f>IF(AND($J$31&lt;&gt;"",$L$31&lt;&gt;""),IF($J$31&gt;$L$31,3,IF($J$31=$L$31,1,0)),"")</f>
        <v>1</v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6</v>
      </c>
      <c r="Q48" s="152">
        <f t="shared" si="0"/>
        <v>6</v>
      </c>
      <c r="R48" s="152">
        <f t="shared" si="2"/>
        <v>1</v>
      </c>
      <c r="S48" s="152">
        <f t="shared" si="3"/>
        <v>2</v>
      </c>
      <c r="T48" s="152">
        <f t="shared" si="4"/>
        <v>3</v>
      </c>
      <c r="U48" s="152">
        <f>L14+J18+L22+L26+L28+J31+J35</f>
        <v>3</v>
      </c>
      <c r="V48" s="152">
        <f>J14+L18+J22+J26+J28+L31+L35</f>
        <v>7</v>
      </c>
      <c r="W48" s="152">
        <f>+R14+Q18+R22+R26+R28+Q31+Q35</f>
        <v>10</v>
      </c>
      <c r="X48" s="129">
        <f t="shared" si="1"/>
        <v>5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6DE5F-A5BA-49C1-8120-F34647954ED4}">
  <sheetPr codeName="Blad4"/>
  <dimension ref="A1:X48"/>
  <sheetViews>
    <sheetView topLeftCell="A31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Scholen!$D$8</f>
        <v>Meisjes</v>
      </c>
      <c r="F8" s="81"/>
      <c r="G8" s="81"/>
      <c r="H8" s="82" t="s">
        <v>1</v>
      </c>
      <c r="I8" s="83" t="s">
        <v>3</v>
      </c>
      <c r="J8" s="81" t="s">
        <v>11</v>
      </c>
      <c r="K8" s="84">
        <f>Scholen!$E$7</f>
        <v>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M1</v>
      </c>
      <c r="F11" s="107"/>
      <c r="G11" s="104" t="s">
        <v>294</v>
      </c>
      <c r="H11" s="107" t="str">
        <f>$A$42</f>
        <v>Maan M4</v>
      </c>
      <c r="I11" s="108"/>
      <c r="J11" s="109"/>
      <c r="K11" s="110" t="s">
        <v>294</v>
      </c>
      <c r="L11" s="111"/>
      <c r="M11" s="112" t="str">
        <f>Scheids!$D$7</f>
        <v>Marcel de Letter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M2</v>
      </c>
      <c r="F12" s="121"/>
      <c r="G12" s="118" t="s">
        <v>294</v>
      </c>
      <c r="H12" s="121" t="str">
        <f>$A$44</f>
        <v>BMS M2</v>
      </c>
      <c r="I12" s="122"/>
      <c r="J12" s="123">
        <v>0</v>
      </c>
      <c r="K12" s="124" t="s">
        <v>294</v>
      </c>
      <c r="L12" s="125">
        <v>0</v>
      </c>
      <c r="M12" s="126" t="str">
        <f>Scheids!$D$7</f>
        <v>Marcel de Letter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M5</v>
      </c>
      <c r="F13" s="121"/>
      <c r="G13" s="118" t="s">
        <v>294</v>
      </c>
      <c r="H13" s="121" t="str">
        <f>$A$46</f>
        <v>Maria M2</v>
      </c>
      <c r="I13" s="122"/>
      <c r="J13" s="123">
        <v>0</v>
      </c>
      <c r="K13" s="124" t="s">
        <v>294</v>
      </c>
      <c r="L13" s="125">
        <v>5</v>
      </c>
      <c r="M13" s="126" t="str">
        <f>Scheids!$D$7</f>
        <v>Marcel de Letter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M4</v>
      </c>
      <c r="F15" s="121"/>
      <c r="G15" s="118" t="s">
        <v>294</v>
      </c>
      <c r="H15" s="121" t="str">
        <f>$A$43</f>
        <v>Maurits M2</v>
      </c>
      <c r="I15" s="122"/>
      <c r="J15" s="123">
        <v>0</v>
      </c>
      <c r="K15" s="124" t="s">
        <v>294</v>
      </c>
      <c r="L15" s="125">
        <v>0</v>
      </c>
      <c r="M15" s="126" t="str">
        <f>Scheids!$F$7</f>
        <v>Gerard Zoet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M2</v>
      </c>
      <c r="F16" s="121"/>
      <c r="G16" s="118" t="s">
        <v>294</v>
      </c>
      <c r="H16" s="121" t="str">
        <f>$A$45</f>
        <v>Maan M5</v>
      </c>
      <c r="I16" s="122"/>
      <c r="J16" s="123">
        <v>1</v>
      </c>
      <c r="K16" s="124" t="s">
        <v>294</v>
      </c>
      <c r="L16" s="125">
        <v>0</v>
      </c>
      <c r="M16" s="126" t="str">
        <f>Scheids!$F$7</f>
        <v>Gerard Zoet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M2</v>
      </c>
      <c r="F17" s="121"/>
      <c r="G17" s="118" t="s">
        <v>294</v>
      </c>
      <c r="H17" s="121" t="str">
        <f>$A$47</f>
        <v>Widar M1</v>
      </c>
      <c r="I17" s="122"/>
      <c r="J17" s="123">
        <v>3</v>
      </c>
      <c r="K17" s="124" t="s">
        <v>294</v>
      </c>
      <c r="L17" s="125">
        <v>0</v>
      </c>
      <c r="M17" s="126" t="str">
        <f>Scheids!$F$7</f>
        <v>Gerard Zoet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M2</v>
      </c>
      <c r="F19" s="121"/>
      <c r="G19" s="118" t="s">
        <v>294</v>
      </c>
      <c r="H19" s="121" t="str">
        <f>$A$42</f>
        <v>Maan M4</v>
      </c>
      <c r="I19" s="122"/>
      <c r="J19" s="123">
        <v>1</v>
      </c>
      <c r="K19" s="124" t="s">
        <v>294</v>
      </c>
      <c r="L19" s="125">
        <v>0</v>
      </c>
      <c r="M19" s="126" t="str">
        <f>Scheids!$D$7</f>
        <v>Marcel de Letter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M2</v>
      </c>
      <c r="F20" s="121"/>
      <c r="G20" s="118" t="s">
        <v>294</v>
      </c>
      <c r="H20" s="121" t="str">
        <f>$A$45</f>
        <v>Maan M5</v>
      </c>
      <c r="I20" s="122"/>
      <c r="J20" s="123">
        <v>0</v>
      </c>
      <c r="K20" s="124" t="s">
        <v>294</v>
      </c>
      <c r="L20" s="125">
        <v>0</v>
      </c>
      <c r="M20" s="126" t="str">
        <f>Scheids!$D$7</f>
        <v>Marcel de Letter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M1</v>
      </c>
      <c r="F21" s="121"/>
      <c r="G21" s="118" t="s">
        <v>294</v>
      </c>
      <c r="H21" s="121" t="str">
        <f>$A$47</f>
        <v>Widar M1</v>
      </c>
      <c r="I21" s="122"/>
      <c r="J21" s="123">
        <v>2</v>
      </c>
      <c r="K21" s="124" t="s">
        <v>294</v>
      </c>
      <c r="L21" s="125">
        <v>0</v>
      </c>
      <c r="M21" s="126" t="str">
        <f>Scheids!$D$7</f>
        <v>Marcel de Letter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M1</v>
      </c>
      <c r="F23" s="121"/>
      <c r="G23" s="118" t="s">
        <v>294</v>
      </c>
      <c r="H23" s="121" t="str">
        <f>$A$43</f>
        <v>Maurits M2</v>
      </c>
      <c r="I23" s="122"/>
      <c r="J23" s="123">
        <v>3</v>
      </c>
      <c r="K23" s="124" t="s">
        <v>294</v>
      </c>
      <c r="L23" s="125">
        <v>0</v>
      </c>
      <c r="M23" s="126" t="str">
        <f>Scheids!$F$7</f>
        <v>Gerard Zoet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M2</v>
      </c>
      <c r="F24" s="121"/>
      <c r="G24" s="118" t="s">
        <v>294</v>
      </c>
      <c r="H24" s="121" t="str">
        <f>$A$44</f>
        <v>BMS M2</v>
      </c>
      <c r="I24" s="122"/>
      <c r="J24" s="123">
        <v>0</v>
      </c>
      <c r="K24" s="124" t="s">
        <v>294</v>
      </c>
      <c r="L24" s="125">
        <v>0</v>
      </c>
      <c r="M24" s="126" t="str">
        <f>Scheids!$F$7</f>
        <v>Gerard Zoet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M4</v>
      </c>
      <c r="F25" s="121"/>
      <c r="G25" s="118" t="s">
        <v>294</v>
      </c>
      <c r="H25" s="121" t="str">
        <f>$A$47</f>
        <v>Widar M1</v>
      </c>
      <c r="I25" s="122"/>
      <c r="J25" s="123">
        <v>0</v>
      </c>
      <c r="K25" s="124" t="s">
        <v>294</v>
      </c>
      <c r="L25" s="125">
        <v>1</v>
      </c>
      <c r="M25" s="126" t="str">
        <f>Scheids!$F$7</f>
        <v>Gerard Zoet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M2</v>
      </c>
      <c r="F27" s="121"/>
      <c r="G27" s="118" t="s">
        <v>294</v>
      </c>
      <c r="H27" s="121" t="str">
        <f>$A$46</f>
        <v>Maria M2</v>
      </c>
      <c r="I27" s="122"/>
      <c r="J27" s="123">
        <v>0</v>
      </c>
      <c r="K27" s="124" t="s">
        <v>294</v>
      </c>
      <c r="L27" s="125">
        <v>5</v>
      </c>
      <c r="M27" s="126" t="str">
        <f>Scheids!$D$7</f>
        <v>Marcel de Letter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M2</v>
      </c>
      <c r="F29" s="121"/>
      <c r="G29" s="118" t="s">
        <v>294</v>
      </c>
      <c r="H29" s="121" t="str">
        <f>$A$41</f>
        <v>Eglantier-B M1</v>
      </c>
      <c r="I29" s="122"/>
      <c r="J29" s="123">
        <v>0</v>
      </c>
      <c r="K29" s="124" t="s">
        <v>294</v>
      </c>
      <c r="L29" s="125">
        <v>2</v>
      </c>
      <c r="M29" s="126" t="str">
        <f>Scheids!$D$7</f>
        <v>Marcel de Letter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M1</v>
      </c>
      <c r="F30" s="121"/>
      <c r="G30" s="118" t="s">
        <v>294</v>
      </c>
      <c r="H30" s="121" t="str">
        <f>$A$45</f>
        <v>Maan M5</v>
      </c>
      <c r="I30" s="122"/>
      <c r="J30" s="123">
        <v>0</v>
      </c>
      <c r="K30" s="124" t="s">
        <v>294</v>
      </c>
      <c r="L30" s="125">
        <v>0</v>
      </c>
      <c r="M30" s="126" t="str">
        <f>Scheids!$D$7</f>
        <v>Marcel de Letter</v>
      </c>
      <c r="N30" s="127"/>
      <c r="O30" s="128"/>
      <c r="Q30" s="129">
        <v>1</v>
      </c>
      <c r="R30" s="129">
        <v>1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M2</v>
      </c>
      <c r="F32" s="121"/>
      <c r="G32" s="118" t="s">
        <v>294</v>
      </c>
      <c r="H32" s="121" t="str">
        <f>$A$47</f>
        <v>Widar M1</v>
      </c>
      <c r="I32" s="122"/>
      <c r="J32" s="123">
        <v>0</v>
      </c>
      <c r="K32" s="124" t="s">
        <v>294</v>
      </c>
      <c r="L32" s="125">
        <v>0</v>
      </c>
      <c r="M32" s="126" t="str">
        <f>Scheids!$F$7</f>
        <v>Gerard Zoet</v>
      </c>
      <c r="N32" s="127"/>
      <c r="O32" s="128"/>
      <c r="Q32" s="129">
        <v>2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M4</v>
      </c>
      <c r="F33" s="121"/>
      <c r="G33" s="118" t="s">
        <v>294</v>
      </c>
      <c r="H33" s="121" t="str">
        <f>$A$46</f>
        <v>Maria M2</v>
      </c>
      <c r="I33" s="122"/>
      <c r="J33" s="123">
        <v>0</v>
      </c>
      <c r="K33" s="124" t="s">
        <v>294</v>
      </c>
      <c r="L33" s="125">
        <v>2</v>
      </c>
      <c r="M33" s="126" t="str">
        <f>Scheids!$F$7</f>
        <v>Gerard Zoet</v>
      </c>
      <c r="N33" s="127"/>
      <c r="O33" s="128"/>
      <c r="Q33" s="129">
        <v>2</v>
      </c>
      <c r="R33" s="129">
        <v>2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M1</v>
      </c>
      <c r="F34" s="121"/>
      <c r="G34" s="118" t="s">
        <v>294</v>
      </c>
      <c r="H34" s="121" t="str">
        <f>$A$45</f>
        <v>Maan M5</v>
      </c>
      <c r="I34" s="122"/>
      <c r="J34" s="123">
        <v>2</v>
      </c>
      <c r="K34" s="124" t="s">
        <v>294</v>
      </c>
      <c r="L34" s="125">
        <v>0</v>
      </c>
      <c r="M34" s="126" t="str">
        <f>Scheids!$F$7</f>
        <v>Gerard Zoet</v>
      </c>
      <c r="N34" s="127"/>
      <c r="O34" s="128"/>
      <c r="Q34" s="129">
        <v>2</v>
      </c>
      <c r="R34" s="129">
        <v>2</v>
      </c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M2</v>
      </c>
      <c r="F36" s="121"/>
      <c r="G36" s="118" t="s">
        <v>294</v>
      </c>
      <c r="H36" s="121" t="str">
        <f>$A$41</f>
        <v>Eglantier-B M1</v>
      </c>
      <c r="I36" s="122"/>
      <c r="J36" s="123"/>
      <c r="K36" s="124" t="s">
        <v>294</v>
      </c>
      <c r="L36" s="125"/>
      <c r="M36" s="126" t="str">
        <f>Scheids!$D$7</f>
        <v>Marcel de Letter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M5</v>
      </c>
      <c r="F37" s="121"/>
      <c r="G37" s="118" t="s">
        <v>294</v>
      </c>
      <c r="H37" s="121" t="str">
        <f>$A$42</f>
        <v>Maan M4</v>
      </c>
      <c r="I37" s="122"/>
      <c r="J37" s="123"/>
      <c r="K37" s="124" t="s">
        <v>294</v>
      </c>
      <c r="L37" s="125"/>
      <c r="M37" s="126" t="str">
        <f>Scheids!$F$7</f>
        <v>Gerard Zoet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M1</v>
      </c>
      <c r="F38" s="136"/>
      <c r="G38" s="133" t="s">
        <v>294</v>
      </c>
      <c r="H38" s="136" t="str">
        <f>$A$44</f>
        <v>BMS M2</v>
      </c>
      <c r="I38" s="137"/>
      <c r="J38" s="138"/>
      <c r="K38" s="139" t="s">
        <v>294</v>
      </c>
      <c r="L38" s="140"/>
      <c r="M38" s="141" t="str">
        <f>Scheids!$F$7</f>
        <v>Gerard Zoet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Scholen!$D$10</f>
        <v>Eglantier-B M1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12</v>
      </c>
      <c r="Q41" s="152">
        <f t="shared" ref="Q41:Q48" si="0">COUNT(E41:N41)</f>
        <v>4</v>
      </c>
      <c r="R41" s="152">
        <f>COUNTIFS(E41:N41,3)</f>
        <v>4</v>
      </c>
      <c r="S41" s="152">
        <f>COUNTIFS(E41:N41,0)</f>
        <v>0</v>
      </c>
      <c r="T41" s="152">
        <f>COUNTIFS(E41:N41,1)</f>
        <v>0</v>
      </c>
      <c r="U41" s="152">
        <f>J11+L18+J21+J23+L29+J34+L36</f>
        <v>9</v>
      </c>
      <c r="V41" s="152">
        <f>L11+J18+L21+L23+J29+L34+J36</f>
        <v>0</v>
      </c>
      <c r="W41" s="152">
        <f>Q11+R18+Q21+Q23+R29+Q34+R36</f>
        <v>6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Scholen!$D$11</f>
        <v>Maan M4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0</v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</v>
      </c>
      <c r="Q42" s="152">
        <f t="shared" si="0"/>
        <v>4</v>
      </c>
      <c r="R42" s="152">
        <f t="shared" ref="R42:R48" si="2">COUNTIFS(E42:N42,3)</f>
        <v>0</v>
      </c>
      <c r="S42" s="152">
        <f t="shared" ref="S42:S48" si="3">COUNTIFS(E42:N42,0)</f>
        <v>3</v>
      </c>
      <c r="T42" s="152">
        <f t="shared" ref="T42:T48" si="4">COUNTIFS(E42:N42,1)</f>
        <v>1</v>
      </c>
      <c r="U42" s="152">
        <f>L11+J15+L19+J25+J28+J33+L37</f>
        <v>0</v>
      </c>
      <c r="V42" s="152">
        <f>J11+L15+J19+L25+L28+L33+J37</f>
        <v>4</v>
      </c>
      <c r="W42" s="152">
        <f>R11+Q15+R19+Q25+Q28+Q33+R37</f>
        <v>7</v>
      </c>
      <c r="X42" s="129">
        <f t="shared" si="1"/>
        <v>7</v>
      </c>
    </row>
    <row r="43" spans="1:24" ht="18.75" customHeight="1" x14ac:dyDescent="0.3">
      <c r="A43" s="154" t="str">
        <f>Scholen!$D$12</f>
        <v>Maurits M2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6</v>
      </c>
      <c r="R43" s="152">
        <f t="shared" si="2"/>
        <v>0</v>
      </c>
      <c r="S43" s="152">
        <f t="shared" si="3"/>
        <v>2</v>
      </c>
      <c r="T43" s="152">
        <f t="shared" si="4"/>
        <v>4</v>
      </c>
      <c r="U43" s="152">
        <f>J12+L15+J20+L23+J27+J32+L35</f>
        <v>0</v>
      </c>
      <c r="V43" s="152">
        <f>L12+J15+L20+J23+L27+L32+J35</f>
        <v>8</v>
      </c>
      <c r="W43" s="152">
        <f>Q12+R15+Q20+R23+Q27+Q32+R35</f>
        <v>9</v>
      </c>
      <c r="X43" s="129">
        <f t="shared" si="1"/>
        <v>5</v>
      </c>
    </row>
    <row r="44" spans="1:24" ht="18.75" customHeight="1" x14ac:dyDescent="0.3">
      <c r="A44" s="161" t="str">
        <f>Scholen!$D$13</f>
        <v>BMS M2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8</v>
      </c>
      <c r="Q44" s="152">
        <f t="shared" si="0"/>
        <v>5</v>
      </c>
      <c r="R44" s="152">
        <f t="shared" si="2"/>
        <v>2</v>
      </c>
      <c r="S44" s="152">
        <f t="shared" si="3"/>
        <v>1</v>
      </c>
      <c r="T44" s="152">
        <f t="shared" si="4"/>
        <v>2</v>
      </c>
      <c r="U44" s="152">
        <f>L12+J16+J19+L24+J29+L31+L38</f>
        <v>2</v>
      </c>
      <c r="V44" s="152">
        <f>J12+L16+L19+J24+L29+J31+J38</f>
        <v>2</v>
      </c>
      <c r="W44" s="152">
        <f>R12+Q16+Q19+R24+Q29+R31+R38</f>
        <v>7</v>
      </c>
      <c r="X44" s="129">
        <f t="shared" si="1"/>
        <v>3</v>
      </c>
    </row>
    <row r="45" spans="1:24" ht="18.75" customHeight="1" x14ac:dyDescent="0.3">
      <c r="A45" s="154" t="str">
        <f>Scholen!$D$14</f>
        <v>Maan M5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0</v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2</v>
      </c>
      <c r="Q45" s="152">
        <f t="shared" si="0"/>
        <v>5</v>
      </c>
      <c r="R45" s="152">
        <f t="shared" si="2"/>
        <v>0</v>
      </c>
      <c r="S45" s="152">
        <f t="shared" si="3"/>
        <v>3</v>
      </c>
      <c r="T45" s="152">
        <f t="shared" si="4"/>
        <v>2</v>
      </c>
      <c r="U45" s="152">
        <f>J13+L16+L20+J26+L30+L34+J37</f>
        <v>0</v>
      </c>
      <c r="V45" s="152">
        <f>L13+J16+J20+L26+J30+J34+L37</f>
        <v>8</v>
      </c>
      <c r="W45" s="152">
        <f>Q13+R16+R20+Q26+R30+R34+Q37</f>
        <v>7</v>
      </c>
      <c r="X45" s="129">
        <f t="shared" si="1"/>
        <v>6</v>
      </c>
    </row>
    <row r="46" spans="1:24" ht="18.75" customHeight="1" x14ac:dyDescent="0.3">
      <c r="A46" s="154" t="str">
        <f>Scholen!$D$15</f>
        <v>Maria M2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13</v>
      </c>
      <c r="Q46" s="152">
        <f t="shared" si="0"/>
        <v>5</v>
      </c>
      <c r="R46" s="152">
        <f t="shared" si="2"/>
        <v>4</v>
      </c>
      <c r="S46" s="152">
        <f t="shared" si="3"/>
        <v>0</v>
      </c>
      <c r="T46" s="152">
        <f t="shared" si="4"/>
        <v>1</v>
      </c>
      <c r="U46" s="152">
        <f>L13+J17+J22+J24+L27+L33+J36</f>
        <v>15</v>
      </c>
      <c r="V46" s="152">
        <f>J13+L17+L22+L24+J27+J33+L36</f>
        <v>0</v>
      </c>
      <c r="W46" s="152">
        <f>R13+Q17+Q22+Q24+R27+R33+Q36</f>
        <v>8</v>
      </c>
      <c r="X46" s="129">
        <f t="shared" si="1"/>
        <v>1</v>
      </c>
    </row>
    <row r="47" spans="1:24" ht="18.75" customHeight="1" x14ac:dyDescent="0.3">
      <c r="A47" s="154" t="str">
        <f>IF(Scholen!$D$16&lt;&gt;"",Scholen!$D$16,"")</f>
        <v>Widar M1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5</v>
      </c>
      <c r="Q47" s="152">
        <f t="shared" si="0"/>
        <v>5</v>
      </c>
      <c r="R47" s="152">
        <f t="shared" si="2"/>
        <v>1</v>
      </c>
      <c r="S47" s="152">
        <f t="shared" si="3"/>
        <v>2</v>
      </c>
      <c r="T47" s="152">
        <f t="shared" si="4"/>
        <v>2</v>
      </c>
      <c r="U47" s="152">
        <f>J14+L17+L21+L25+J30+L32+J38</f>
        <v>1</v>
      </c>
      <c r="V47" s="152">
        <f>L14+J17+J21+J25+L30+J32+L38</f>
        <v>5</v>
      </c>
      <c r="W47" s="152">
        <f>Q14+R17+R21+R25+Q30+R32+Q38</f>
        <v>8</v>
      </c>
      <c r="X47" s="129">
        <f t="shared" si="1"/>
        <v>4</v>
      </c>
    </row>
    <row r="48" spans="1:24" ht="18.75" customHeight="1" x14ac:dyDescent="0.3">
      <c r="A48" s="154" t="str">
        <f>IF(Scholen!$D$17&lt;&gt;"",Scholen!$D$17,"")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A38F0-61D9-495C-9791-38B01F279CE7}">
  <sheetPr codeName="Blad5"/>
  <dimension ref="A1:X48"/>
  <sheetViews>
    <sheetView topLeftCell="A39"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Scholen!$F$8</f>
        <v>Gemengd</v>
      </c>
      <c r="F8" s="81"/>
      <c r="G8" s="81"/>
      <c r="H8" s="82" t="s">
        <v>1</v>
      </c>
      <c r="I8" s="83" t="s">
        <v>4</v>
      </c>
      <c r="J8" s="81" t="s">
        <v>11</v>
      </c>
      <c r="K8" s="84">
        <f>Scholen!$G$7</f>
        <v>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Freinet G1</v>
      </c>
      <c r="F11" s="107"/>
      <c r="G11" s="104" t="s">
        <v>294</v>
      </c>
      <c r="H11" s="107" t="str">
        <f>$A$42</f>
        <v>Gabriël G1</v>
      </c>
      <c r="I11" s="108"/>
      <c r="J11" s="109">
        <v>5</v>
      </c>
      <c r="K11" s="110" t="s">
        <v>294</v>
      </c>
      <c r="L11" s="111">
        <v>2</v>
      </c>
      <c r="M11" s="112" t="str">
        <f>Scheids!$D$8</f>
        <v>Louis vd Weijde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G1</v>
      </c>
      <c r="F12" s="121"/>
      <c r="G12" s="118" t="s">
        <v>294</v>
      </c>
      <c r="H12" s="121" t="str">
        <f>$A$44</f>
        <v>Maria G1</v>
      </c>
      <c r="I12" s="122"/>
      <c r="J12" s="123">
        <v>4</v>
      </c>
      <c r="K12" s="124" t="s">
        <v>294</v>
      </c>
      <c r="L12" s="125">
        <v>0</v>
      </c>
      <c r="M12" s="126" t="str">
        <f>Scheids!$D$8</f>
        <v>Louis vd Weijde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G1</v>
      </c>
      <c r="F13" s="121"/>
      <c r="G13" s="118" t="s">
        <v>294</v>
      </c>
      <c r="H13" s="121" t="str">
        <f>$A$46</f>
        <v>M Delft G1</v>
      </c>
      <c r="I13" s="122"/>
      <c r="J13" s="123">
        <v>1</v>
      </c>
      <c r="K13" s="124" t="s">
        <v>294</v>
      </c>
      <c r="L13" s="125">
        <v>0</v>
      </c>
      <c r="M13" s="126" t="str">
        <f>Scheids!$D$8</f>
        <v>Louis vd Weijde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Schatkaart G1</v>
      </c>
      <c r="F14" s="121"/>
      <c r="G14" s="118"/>
      <c r="H14" s="121" t="str">
        <f>$A$48</f>
        <v>Cornelis G1</v>
      </c>
      <c r="I14" s="122"/>
      <c r="J14" s="123">
        <v>2</v>
      </c>
      <c r="K14" s="124" t="s">
        <v>294</v>
      </c>
      <c r="L14" s="125">
        <v>0</v>
      </c>
      <c r="M14" s="126" t="str">
        <f>Scheids!$F$8</f>
        <v>Marcel den Os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G1</v>
      </c>
      <c r="F15" s="121"/>
      <c r="G15" s="118" t="s">
        <v>294</v>
      </c>
      <c r="H15" s="121" t="str">
        <f>$A$43</f>
        <v>Mozaïek G1</v>
      </c>
      <c r="I15" s="122"/>
      <c r="J15" s="123">
        <v>1</v>
      </c>
      <c r="K15" s="124" t="s">
        <v>294</v>
      </c>
      <c r="L15" s="125">
        <v>4</v>
      </c>
      <c r="M15" s="126" t="str">
        <f>Scheids!$F$8</f>
        <v>Marcel den Os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G1</v>
      </c>
      <c r="F16" s="121"/>
      <c r="G16" s="118" t="s">
        <v>294</v>
      </c>
      <c r="H16" s="121" t="str">
        <f>$A$45</f>
        <v>Maan G1</v>
      </c>
      <c r="I16" s="122"/>
      <c r="J16" s="123">
        <v>0</v>
      </c>
      <c r="K16" s="124" t="s">
        <v>294</v>
      </c>
      <c r="L16" s="125">
        <v>5</v>
      </c>
      <c r="M16" s="126" t="str">
        <f>Scheids!$F$8</f>
        <v>Marcel den Os</v>
      </c>
      <c r="N16" s="127"/>
      <c r="O16" s="128"/>
      <c r="Q16" s="129">
        <v>2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 Delft G1</v>
      </c>
      <c r="F17" s="121"/>
      <c r="G17" s="118" t="s">
        <v>294</v>
      </c>
      <c r="H17" s="121" t="str">
        <f>$A$47</f>
        <v>Schatkaart G1</v>
      </c>
      <c r="I17" s="122"/>
      <c r="J17" s="123">
        <v>2</v>
      </c>
      <c r="K17" s="124" t="s">
        <v>294</v>
      </c>
      <c r="L17" s="125">
        <v>0</v>
      </c>
      <c r="M17" s="126" t="str">
        <f>Scheids!$D$8</f>
        <v>Louis vd Weijde</v>
      </c>
      <c r="N17" s="127"/>
      <c r="O17" s="128"/>
      <c r="Q17" s="129">
        <v>1</v>
      </c>
      <c r="R17" s="129">
        <v>0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Cornelis G1</v>
      </c>
      <c r="F18" s="121"/>
      <c r="G18" s="118"/>
      <c r="H18" s="121" t="str">
        <f>$A$41</f>
        <v>Freinet G1</v>
      </c>
      <c r="I18" s="122"/>
      <c r="J18" s="123">
        <v>2</v>
      </c>
      <c r="K18" s="124" t="s">
        <v>294</v>
      </c>
      <c r="L18" s="125">
        <v>2</v>
      </c>
      <c r="M18" s="126" t="str">
        <f>Scheids!$D$8</f>
        <v>Louis vd Weijde</v>
      </c>
      <c r="N18" s="127"/>
      <c r="O18" s="128"/>
      <c r="Q18" s="129">
        <v>1</v>
      </c>
      <c r="R18" s="129">
        <v>1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G1</v>
      </c>
      <c r="F19" s="121"/>
      <c r="G19" s="118" t="s">
        <v>294</v>
      </c>
      <c r="H19" s="121" t="str">
        <f>$A$42</f>
        <v>Gabriël G1</v>
      </c>
      <c r="I19" s="122"/>
      <c r="J19" s="123">
        <v>0</v>
      </c>
      <c r="K19" s="124" t="s">
        <v>294</v>
      </c>
      <c r="L19" s="125">
        <v>2</v>
      </c>
      <c r="M19" s="126" t="str">
        <f>Scheids!$D$8</f>
        <v>Louis vd Weijde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G1</v>
      </c>
      <c r="F20" s="121"/>
      <c r="G20" s="118" t="s">
        <v>294</v>
      </c>
      <c r="H20" s="121" t="str">
        <f>$A$45</f>
        <v>Maan G1</v>
      </c>
      <c r="I20" s="122"/>
      <c r="J20" s="123">
        <v>2</v>
      </c>
      <c r="K20" s="124" t="s">
        <v>294</v>
      </c>
      <c r="L20" s="125">
        <v>2</v>
      </c>
      <c r="M20" s="126" t="str">
        <f>Scheids!$F$8</f>
        <v>Marcel den Os</v>
      </c>
      <c r="N20" s="127"/>
      <c r="O20" s="128"/>
      <c r="Q20" s="129">
        <v>2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Freinet G1</v>
      </c>
      <c r="F21" s="121"/>
      <c r="G21" s="118" t="s">
        <v>294</v>
      </c>
      <c r="H21" s="121" t="str">
        <f>$A$47</f>
        <v>Schatkaart G1</v>
      </c>
      <c r="I21" s="122"/>
      <c r="J21" s="123">
        <v>2</v>
      </c>
      <c r="K21" s="124" t="s">
        <v>294</v>
      </c>
      <c r="L21" s="125">
        <v>0</v>
      </c>
      <c r="M21" s="126" t="str">
        <f>Scheids!$F$8</f>
        <v>Marcel den Os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M Delft G1</v>
      </c>
      <c r="F22" s="121"/>
      <c r="G22" s="118"/>
      <c r="H22" s="121" t="str">
        <f>$A$48</f>
        <v>Cornelis G1</v>
      </c>
      <c r="I22" s="122"/>
      <c r="J22" s="123">
        <v>5</v>
      </c>
      <c r="K22" s="124" t="s">
        <v>294</v>
      </c>
      <c r="L22" s="125">
        <v>0</v>
      </c>
      <c r="M22" s="126" t="str">
        <f>Scheids!$F$8</f>
        <v>Marcel den Os</v>
      </c>
      <c r="N22" s="127"/>
      <c r="O22" s="128"/>
      <c r="Q22" s="129">
        <v>1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Freinet G1</v>
      </c>
      <c r="F23" s="121"/>
      <c r="G23" s="118" t="s">
        <v>294</v>
      </c>
      <c r="H23" s="121" t="str">
        <f>$A$43</f>
        <v>Mozaïek G1</v>
      </c>
      <c r="I23" s="122"/>
      <c r="J23" s="123">
        <v>3</v>
      </c>
      <c r="K23" s="124" t="s">
        <v>294</v>
      </c>
      <c r="L23" s="125">
        <v>1</v>
      </c>
      <c r="M23" s="126" t="str">
        <f>Scheids!$D$8</f>
        <v>Louis vd Weijde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 Delft G1</v>
      </c>
      <c r="F24" s="121"/>
      <c r="G24" s="118" t="s">
        <v>294</v>
      </c>
      <c r="H24" s="121" t="str">
        <f>$A$44</f>
        <v>Maria G1</v>
      </c>
      <c r="I24" s="122"/>
      <c r="J24" s="123">
        <v>3</v>
      </c>
      <c r="K24" s="124" t="s">
        <v>294</v>
      </c>
      <c r="L24" s="125">
        <v>0</v>
      </c>
      <c r="M24" s="126" t="str">
        <f>Scheids!$D$8</f>
        <v>Louis vd Weijde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G1</v>
      </c>
      <c r="F25" s="121"/>
      <c r="G25" s="118" t="s">
        <v>294</v>
      </c>
      <c r="H25" s="121" t="str">
        <f>$A$47</f>
        <v>Schatkaart G1</v>
      </c>
      <c r="I25" s="122"/>
      <c r="J25" s="123">
        <v>1</v>
      </c>
      <c r="K25" s="124" t="s">
        <v>294</v>
      </c>
      <c r="L25" s="125">
        <v>4</v>
      </c>
      <c r="M25" s="126" t="str">
        <f>Scheids!$D$8</f>
        <v>Louis vd Weijde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Maan G1</v>
      </c>
      <c r="F26" s="121"/>
      <c r="G26" s="118"/>
      <c r="H26" s="121" t="str">
        <f>$A$48</f>
        <v>Cornelis G1</v>
      </c>
      <c r="I26" s="122"/>
      <c r="J26" s="123">
        <v>2</v>
      </c>
      <c r="K26" s="124" t="s">
        <v>294</v>
      </c>
      <c r="L26" s="125">
        <v>0</v>
      </c>
      <c r="M26" s="126" t="str">
        <f>Scheids!$F$8</f>
        <v>Marcel den Os</v>
      </c>
      <c r="N26" s="127"/>
      <c r="O26" s="128"/>
      <c r="Q26" s="129">
        <v>1</v>
      </c>
      <c r="R26" s="129">
        <v>2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G1</v>
      </c>
      <c r="F27" s="121"/>
      <c r="G27" s="118" t="s">
        <v>294</v>
      </c>
      <c r="H27" s="121" t="str">
        <f>$A$46</f>
        <v>M Delft G1</v>
      </c>
      <c r="I27" s="122"/>
      <c r="J27" s="123">
        <v>5</v>
      </c>
      <c r="K27" s="124" t="s">
        <v>294</v>
      </c>
      <c r="L27" s="125">
        <v>0</v>
      </c>
      <c r="M27" s="126" t="str">
        <f>Scheids!$F$8</f>
        <v>Marcel den Os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Gabriël G1</v>
      </c>
      <c r="F28" s="121"/>
      <c r="G28" s="118"/>
      <c r="H28" s="121" t="str">
        <f>$A$48</f>
        <v>Cornelis G1</v>
      </c>
      <c r="I28" s="122"/>
      <c r="J28" s="123">
        <v>2</v>
      </c>
      <c r="K28" s="124" t="s">
        <v>294</v>
      </c>
      <c r="L28" s="125">
        <v>0</v>
      </c>
      <c r="M28" s="126" t="str">
        <f>Scheids!$F$8</f>
        <v>Marcel den Os</v>
      </c>
      <c r="N28" s="127"/>
      <c r="O28" s="128"/>
      <c r="Q28" s="129">
        <v>2</v>
      </c>
      <c r="R28" s="129">
        <v>2</v>
      </c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G1</v>
      </c>
      <c r="F29" s="121"/>
      <c r="G29" s="118" t="s">
        <v>294</v>
      </c>
      <c r="H29" s="121" t="str">
        <f>$A$41</f>
        <v>Freinet G1</v>
      </c>
      <c r="I29" s="122"/>
      <c r="J29" s="123">
        <v>0</v>
      </c>
      <c r="K29" s="124" t="s">
        <v>294</v>
      </c>
      <c r="L29" s="125">
        <v>4</v>
      </c>
      <c r="M29" s="126" t="str">
        <f>Scheids!$D$8</f>
        <v>Louis vd Weijde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Schatkaart G1</v>
      </c>
      <c r="F30" s="121"/>
      <c r="G30" s="118" t="s">
        <v>294</v>
      </c>
      <c r="H30" s="121" t="str">
        <f>$A$45</f>
        <v>Maan G1</v>
      </c>
      <c r="I30" s="122"/>
      <c r="J30" s="123">
        <v>0</v>
      </c>
      <c r="K30" s="124" t="s">
        <v>294</v>
      </c>
      <c r="L30" s="125">
        <v>3</v>
      </c>
      <c r="M30" s="126" t="str">
        <f>Scheids!$D$8</f>
        <v>Louis vd Weijde</v>
      </c>
      <c r="N30" s="127"/>
      <c r="O30" s="128"/>
      <c r="Q30" s="129">
        <v>1</v>
      </c>
      <c r="R30" s="129">
        <v>1</v>
      </c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Cornelis G1</v>
      </c>
      <c r="F31" s="121"/>
      <c r="G31" s="118"/>
      <c r="H31" s="121" t="str">
        <f>$A$44</f>
        <v>Maria G1</v>
      </c>
      <c r="I31" s="122"/>
      <c r="J31" s="123">
        <v>1</v>
      </c>
      <c r="K31" s="124" t="s">
        <v>294</v>
      </c>
      <c r="L31" s="125">
        <v>0</v>
      </c>
      <c r="M31" s="126" t="str">
        <f>Scheids!$D$8</f>
        <v>Louis vd Weijde</v>
      </c>
      <c r="N31" s="127"/>
      <c r="O31" s="128"/>
      <c r="Q31" s="129">
        <v>2</v>
      </c>
      <c r="R31" s="129">
        <v>2</v>
      </c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G1</v>
      </c>
      <c r="F32" s="121"/>
      <c r="G32" s="118" t="s">
        <v>294</v>
      </c>
      <c r="H32" s="121" t="str">
        <f>$A$47</f>
        <v>Schatkaart G1</v>
      </c>
      <c r="I32" s="122"/>
      <c r="J32" s="123">
        <v>3</v>
      </c>
      <c r="K32" s="124" t="s">
        <v>294</v>
      </c>
      <c r="L32" s="125">
        <v>1</v>
      </c>
      <c r="M32" s="126" t="str">
        <f>Scheids!$F$8</f>
        <v>Marcel den Os</v>
      </c>
      <c r="N32" s="127"/>
      <c r="O32" s="128"/>
      <c r="Q32" s="129">
        <v>2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G1</v>
      </c>
      <c r="F33" s="121"/>
      <c r="G33" s="118" t="s">
        <v>294</v>
      </c>
      <c r="H33" s="121" t="str">
        <f>$A$46</f>
        <v>M Delft G1</v>
      </c>
      <c r="I33" s="122"/>
      <c r="J33" s="123">
        <v>0</v>
      </c>
      <c r="K33" s="124" t="s">
        <v>294</v>
      </c>
      <c r="L33" s="125">
        <v>0</v>
      </c>
      <c r="M33" s="126" t="str">
        <f>Scheids!$F$8</f>
        <v>Marcel den Os</v>
      </c>
      <c r="N33" s="127"/>
      <c r="O33" s="128"/>
      <c r="Q33" s="129">
        <v>2</v>
      </c>
      <c r="R33" s="129">
        <v>2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Freinet G1</v>
      </c>
      <c r="F34" s="121"/>
      <c r="G34" s="118" t="s">
        <v>294</v>
      </c>
      <c r="H34" s="121" t="str">
        <f>$A$45</f>
        <v>Maan G1</v>
      </c>
      <c r="I34" s="122"/>
      <c r="J34" s="123">
        <v>0</v>
      </c>
      <c r="K34" s="124" t="s">
        <v>294</v>
      </c>
      <c r="L34" s="125">
        <v>2</v>
      </c>
      <c r="M34" s="126" t="str">
        <f>Scheids!$F$8</f>
        <v>Marcel den Os</v>
      </c>
      <c r="N34" s="127"/>
      <c r="O34" s="128"/>
      <c r="Q34" s="129">
        <v>2</v>
      </c>
      <c r="R34" s="129">
        <v>2</v>
      </c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Cornelis G1</v>
      </c>
      <c r="F35" s="121"/>
      <c r="G35" s="118"/>
      <c r="H35" s="121" t="str">
        <f>$A$43</f>
        <v>Mozaïek G1</v>
      </c>
      <c r="I35" s="122"/>
      <c r="J35" s="123"/>
      <c r="K35" s="124" t="s">
        <v>294</v>
      </c>
      <c r="L35" s="125"/>
      <c r="M35" s="126" t="str">
        <f>Scheids!$D$8</f>
        <v>Louis vd Weijde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 Delft G1</v>
      </c>
      <c r="F36" s="121"/>
      <c r="G36" s="118" t="s">
        <v>294</v>
      </c>
      <c r="H36" s="121" t="str">
        <f>$A$41</f>
        <v>Freinet G1</v>
      </c>
      <c r="I36" s="122"/>
      <c r="J36" s="123"/>
      <c r="K36" s="124" t="s">
        <v>294</v>
      </c>
      <c r="L36" s="125"/>
      <c r="M36" s="126" t="str">
        <f>Scheids!$D$8</f>
        <v>Louis vd Weijde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G1</v>
      </c>
      <c r="F37" s="121"/>
      <c r="G37" s="118" t="s">
        <v>294</v>
      </c>
      <c r="H37" s="121" t="str">
        <f>$A$42</f>
        <v>Gabriël G1</v>
      </c>
      <c r="I37" s="122"/>
      <c r="J37" s="123"/>
      <c r="K37" s="124" t="s">
        <v>294</v>
      </c>
      <c r="L37" s="125"/>
      <c r="M37" s="126" t="str">
        <f>Scheids!$F$8</f>
        <v>Marcel den Os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Schatkaart G1</v>
      </c>
      <c r="F38" s="136"/>
      <c r="G38" s="133" t="s">
        <v>294</v>
      </c>
      <c r="H38" s="136" t="str">
        <f>$A$44</f>
        <v>Maria G1</v>
      </c>
      <c r="I38" s="137"/>
      <c r="J38" s="138"/>
      <c r="K38" s="139" t="s">
        <v>294</v>
      </c>
      <c r="L38" s="140"/>
      <c r="M38" s="141" t="str">
        <f>Scheids!$F$8</f>
        <v>Marcel den Os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Scholen!$F$10</f>
        <v>Freinet G1</v>
      </c>
      <c r="B41" s="155"/>
      <c r="C41" s="155"/>
      <c r="D41" s="156"/>
      <c r="E41" s="157">
        <f>IF(AND($J$11&lt;&gt;"", $L$11&lt;&gt;""),IF($J$11&gt;$L$11,3,IF($J$11=$L$11,1,0)),"")</f>
        <v>3</v>
      </c>
      <c r="F41" s="170">
        <f>IF(AND($J$18&lt;&gt;"",$L$18&lt;&gt;""),IF($J$18&lt;$L$18,3,IF($J$18=$L$18,1,0)),"")</f>
        <v>1</v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13</v>
      </c>
      <c r="Q41" s="152">
        <f t="shared" ref="Q41:Q48" si="0">COUNT(E41:N41)</f>
        <v>6</v>
      </c>
      <c r="R41" s="152">
        <f>COUNTIFS(E41:N41,3)</f>
        <v>4</v>
      </c>
      <c r="S41" s="152">
        <f>COUNTIFS(E41:N41,0)</f>
        <v>1</v>
      </c>
      <c r="T41" s="152">
        <f>COUNTIFS(E41:N41,1)</f>
        <v>1</v>
      </c>
      <c r="U41" s="152">
        <f>J11+L18+J21+J23+L29+J34+L36</f>
        <v>16</v>
      </c>
      <c r="V41" s="152">
        <f>L11+J18+L21+L23+J29+L34+J36</f>
        <v>7</v>
      </c>
      <c r="W41" s="152">
        <f>Q11+R18+Q21+Q23+R29+Q34+R36</f>
        <v>8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Scholen!$F$11</f>
        <v>Gabriël G1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>
        <f>IF(AND($J$28&lt;&gt;"",$L$28&lt;&gt;""),IF($J$28&gt;$L$28,3,IF($J$28=$L$28,1,0)),"")</f>
        <v>3</v>
      </c>
      <c r="L42" s="158"/>
      <c r="M42" s="156">
        <f>IF(AND($J$33&lt;&gt;"",$L$33&lt;&gt;""),IF($J$33&gt;$L$33,3,IF($J$33=$L$33,1,0)),"")</f>
        <v>1</v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7</v>
      </c>
      <c r="Q42" s="152">
        <f t="shared" si="0"/>
        <v>6</v>
      </c>
      <c r="R42" s="152">
        <f t="shared" ref="R42:R48" si="2">COUNTIFS(E42:N42,3)</f>
        <v>2</v>
      </c>
      <c r="S42" s="152">
        <f t="shared" ref="S42:S48" si="3">COUNTIFS(E42:N42,0)</f>
        <v>3</v>
      </c>
      <c r="T42" s="152">
        <f t="shared" ref="T42:T48" si="4">COUNTIFS(E42:N42,1)</f>
        <v>1</v>
      </c>
      <c r="U42" s="152">
        <f>L11+J15+L19+J25+J28+J33+L37</f>
        <v>8</v>
      </c>
      <c r="V42" s="152">
        <f>J11+L15+J19+L25+L28+L33+J37</f>
        <v>13</v>
      </c>
      <c r="W42" s="152">
        <f>R11+Q15+R19+Q25+Q28+Q33+R37</f>
        <v>9</v>
      </c>
      <c r="X42" s="129">
        <f t="shared" si="1"/>
        <v>5</v>
      </c>
    </row>
    <row r="43" spans="1:24" ht="18.75" customHeight="1" x14ac:dyDescent="0.3">
      <c r="A43" s="154" t="str">
        <f>Scholen!$F$12</f>
        <v>Mozaïek G1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3</v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13</v>
      </c>
      <c r="Q43" s="152">
        <f t="shared" si="0"/>
        <v>6</v>
      </c>
      <c r="R43" s="152">
        <f t="shared" si="2"/>
        <v>4</v>
      </c>
      <c r="S43" s="152">
        <f t="shared" si="3"/>
        <v>1</v>
      </c>
      <c r="T43" s="152">
        <f t="shared" si="4"/>
        <v>1</v>
      </c>
      <c r="U43" s="152">
        <f>J12+L15+J20+L23+J27+J32+L35</f>
        <v>19</v>
      </c>
      <c r="V43" s="152">
        <f>L12+J15+L20+J23+L27+L32+J35</f>
        <v>7</v>
      </c>
      <c r="W43" s="152">
        <f>Q12+R15+Q20+R23+Q27+Q32+R35</f>
        <v>10</v>
      </c>
      <c r="X43" s="129">
        <f t="shared" si="1"/>
        <v>2</v>
      </c>
    </row>
    <row r="44" spans="1:24" ht="18.75" customHeight="1" x14ac:dyDescent="0.3">
      <c r="A44" s="161" t="str">
        <f>Scholen!$F$13</f>
        <v>Maria G1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71"/>
      <c r="M44" s="172">
        <f>IF(AND($J$31&lt;&gt;"",$L$31&lt;&gt;""),IF($J$31&lt;$L$31,3,IF($J$31=$L$31,1,0)),"")</f>
        <v>0</v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0</v>
      </c>
      <c r="Q44" s="152">
        <f t="shared" si="0"/>
        <v>6</v>
      </c>
      <c r="R44" s="152">
        <f t="shared" si="2"/>
        <v>0</v>
      </c>
      <c r="S44" s="152">
        <f t="shared" si="3"/>
        <v>6</v>
      </c>
      <c r="T44" s="152">
        <f t="shared" si="4"/>
        <v>0</v>
      </c>
      <c r="U44" s="152">
        <f>L12+J16+J19+L24+J29+L31+L38</f>
        <v>0</v>
      </c>
      <c r="V44" s="152">
        <f>J12+L16+L19+J24+L29+J31+J38</f>
        <v>19</v>
      </c>
      <c r="W44" s="152">
        <f>R12+Q16+Q19+R24+Q29+R31+R38</f>
        <v>8</v>
      </c>
      <c r="X44" s="129">
        <f t="shared" si="1"/>
        <v>8</v>
      </c>
    </row>
    <row r="45" spans="1:24" ht="18.75" customHeight="1" x14ac:dyDescent="0.3">
      <c r="A45" s="154" t="str">
        <f>Scholen!$F$14</f>
        <v>Maan G1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1</v>
      </c>
      <c r="I45" s="173">
        <f>IF(AND($J$26&lt;&gt;"",$L$26&lt;&gt;""),IF($J$26&gt;$L$26,3,IF($J$26=$L$26,1,0)),"")</f>
        <v>3</v>
      </c>
      <c r="J45" s="112"/>
      <c r="K45" s="114">
        <f>IF(AND($J$30&lt;&gt;"",$L$30&lt;&gt;""),IF($J$30&lt;$L$30,3,IF($J$30=$L$30,1,0)),"")</f>
        <v>3</v>
      </c>
      <c r="L45" s="158"/>
      <c r="M45" s="156">
        <f>IF(AND($J$34&lt;&gt;"",$L$34&lt;&gt;""),IF($J$34&lt;$L$34,3,IF($J$34=$L$34,1,0)),"")</f>
        <v>3</v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16</v>
      </c>
      <c r="Q45" s="152">
        <f t="shared" si="0"/>
        <v>6</v>
      </c>
      <c r="R45" s="152">
        <f t="shared" si="2"/>
        <v>5</v>
      </c>
      <c r="S45" s="152">
        <f t="shared" si="3"/>
        <v>0</v>
      </c>
      <c r="T45" s="152">
        <f t="shared" si="4"/>
        <v>1</v>
      </c>
      <c r="U45" s="152">
        <f>J13+L16+L20+J26+L30+L34+J37</f>
        <v>15</v>
      </c>
      <c r="V45" s="152">
        <f>L13+J16+J20+L26+J30+J34+L37</f>
        <v>2</v>
      </c>
      <c r="W45" s="152">
        <f>Q13+R16+R20+Q26+R30+R34+Q37</f>
        <v>7</v>
      </c>
      <c r="X45" s="129">
        <f t="shared" si="1"/>
        <v>1</v>
      </c>
    </row>
    <row r="46" spans="1:24" ht="18.75" customHeight="1" x14ac:dyDescent="0.3">
      <c r="A46" s="154" t="str">
        <f>Scholen!$F$15</f>
        <v>M Delft G1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3</v>
      </c>
      <c r="G46" s="171"/>
      <c r="H46" s="172">
        <f>IF(AND($J$22&lt;&gt;"",$L$22&lt;&gt;""),IF($J$22&gt;$L$22,3,IF($J$22=$L$22,1,0)),"")</f>
        <v>3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1</v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10</v>
      </c>
      <c r="Q46" s="152">
        <f t="shared" si="0"/>
        <v>6</v>
      </c>
      <c r="R46" s="152">
        <f t="shared" si="2"/>
        <v>3</v>
      </c>
      <c r="S46" s="152">
        <f t="shared" si="3"/>
        <v>2</v>
      </c>
      <c r="T46" s="152">
        <f t="shared" si="4"/>
        <v>1</v>
      </c>
      <c r="U46" s="152">
        <f>L13+J17+J22+J24+L27+L33+J36</f>
        <v>10</v>
      </c>
      <c r="V46" s="152">
        <f>J13+L17+L22+L24+J27+J33+L36</f>
        <v>6</v>
      </c>
      <c r="W46" s="152">
        <f>R13+Q17+Q22+Q24+R27+R33+Q36</f>
        <v>8</v>
      </c>
      <c r="X46" s="129">
        <f t="shared" si="1"/>
        <v>4</v>
      </c>
    </row>
    <row r="47" spans="1:24" ht="18.75" customHeight="1" x14ac:dyDescent="0.3">
      <c r="A47" s="154" t="str">
        <f>IF(Scholen!$F$16&lt;&gt;"",Scholen!$F$16,"")</f>
        <v>Schatkaart G1</v>
      </c>
      <c r="B47" s="155"/>
      <c r="C47" s="155"/>
      <c r="D47" s="156"/>
      <c r="E47" s="170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0</v>
      </c>
      <c r="L47" s="158"/>
      <c r="M47" s="164">
        <f>IF(AND($J$32&lt;&gt;"",$L$32&lt;&gt;""),IF($J$32&lt;$L$32,3,IF($J$32=$L$32,1,0)),"")</f>
        <v>0</v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2"/>
        <v>2</v>
      </c>
      <c r="S47" s="152">
        <f t="shared" si="3"/>
        <v>4</v>
      </c>
      <c r="T47" s="152">
        <f t="shared" si="4"/>
        <v>0</v>
      </c>
      <c r="U47" s="152">
        <f>J14+L17+L21+L25+J30+L32+J38</f>
        <v>7</v>
      </c>
      <c r="V47" s="152">
        <f>L14+J17+J21+J25+L30+J32+L38</f>
        <v>11</v>
      </c>
      <c r="W47" s="152">
        <f>Q14+R17+R21+R25+Q30+R32+Q38</f>
        <v>8</v>
      </c>
      <c r="X47" s="129">
        <f t="shared" si="1"/>
        <v>6</v>
      </c>
    </row>
    <row r="48" spans="1:24" ht="18.75" customHeight="1" x14ac:dyDescent="0.3">
      <c r="A48" s="154" t="str">
        <f>IF(Scholen!$F$17&lt;&gt;"",Scholen!$F$17,"")</f>
        <v>Cornelis G1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1</v>
      </c>
      <c r="G48" s="141"/>
      <c r="H48" s="143">
        <f>IF(AND($J$22&lt;&gt;"",$L$22&lt;&gt;""),IF($J$22&lt;$L$22,3,IF($J$22=$L$22,1,0)),"")</f>
        <v>0</v>
      </c>
      <c r="I48" s="165">
        <f>IF(AND($J$26&lt;&gt;"",$L$26&lt;&gt;""),IF($J$26&lt;$L$26,3,IF($J$26=$L$26,1,0)),"")</f>
        <v>0</v>
      </c>
      <c r="J48" s="141"/>
      <c r="K48" s="143">
        <f>IF(AND($J$28&lt;&gt;"",$L$28&lt;&gt;""),IF($J$28&lt;$L$28,3,IF($J$28=$L$28,1,0)),"")</f>
        <v>0</v>
      </c>
      <c r="L48" s="141"/>
      <c r="M48" s="142">
        <f>IF(AND($J$31&lt;&gt;"",$L$31&lt;&gt;""),IF($J$31&gt;$L$31,3,IF($J$31=$L$31,1,0)),"")</f>
        <v>3</v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4</v>
      </c>
      <c r="Q48" s="152">
        <f t="shared" si="0"/>
        <v>6</v>
      </c>
      <c r="R48" s="152">
        <f t="shared" si="2"/>
        <v>1</v>
      </c>
      <c r="S48" s="152">
        <f t="shared" si="3"/>
        <v>4</v>
      </c>
      <c r="T48" s="152">
        <f t="shared" si="4"/>
        <v>1</v>
      </c>
      <c r="U48" s="152">
        <f>L14+J18+L22+L26+L28+J31+J35</f>
        <v>3</v>
      </c>
      <c r="V48" s="152">
        <f>J14+L18+J22+J26+J28+L31+L35</f>
        <v>13</v>
      </c>
      <c r="W48" s="152">
        <f>+R14+Q18+R22+R26+R28+Q31+Q35</f>
        <v>11</v>
      </c>
      <c r="X48" s="129">
        <f t="shared" si="1"/>
        <v>7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5442C-702B-40DF-9FC2-C3EAF255B49C}">
  <sheetPr codeName="Blad6"/>
  <dimension ref="A1:X48"/>
  <sheetViews>
    <sheetView topLeftCell="A32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Scholen!$H$8</f>
        <v>Gemengd</v>
      </c>
      <c r="F8" s="81"/>
      <c r="G8" s="81"/>
      <c r="H8" s="82" t="s">
        <v>1</v>
      </c>
      <c r="I8" s="83" t="s">
        <v>5</v>
      </c>
      <c r="J8" s="81" t="s">
        <v>11</v>
      </c>
      <c r="K8" s="84">
        <f>Scholen!$I$7</f>
        <v>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Park G1</v>
      </c>
      <c r="F11" s="107"/>
      <c r="G11" s="104" t="s">
        <v>294</v>
      </c>
      <c r="H11" s="107" t="str">
        <f>$A$42</f>
        <v>Freinet G2</v>
      </c>
      <c r="I11" s="108"/>
      <c r="J11" s="109">
        <v>0</v>
      </c>
      <c r="K11" s="110" t="s">
        <v>294</v>
      </c>
      <c r="L11" s="111">
        <v>3</v>
      </c>
      <c r="M11" s="112" t="str">
        <f>Scheids!$D$9</f>
        <v>Chris van Noordwijk</v>
      </c>
      <c r="N11" s="113"/>
      <c r="O11" s="114"/>
      <c r="Q11" s="115">
        <v>0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Gabriël G2</v>
      </c>
      <c r="F12" s="121"/>
      <c r="G12" s="118" t="s">
        <v>294</v>
      </c>
      <c r="H12" s="121" t="str">
        <f>$A$44</f>
        <v>Mozaïek G2</v>
      </c>
      <c r="I12" s="122"/>
      <c r="J12" s="123">
        <v>0</v>
      </c>
      <c r="K12" s="124" t="s">
        <v>294</v>
      </c>
      <c r="L12" s="125">
        <v>6</v>
      </c>
      <c r="M12" s="126" t="str">
        <f>Scheids!$D$9</f>
        <v>Chris van Noordwijk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G2</v>
      </c>
      <c r="F13" s="121"/>
      <c r="G13" s="118" t="s">
        <v>294</v>
      </c>
      <c r="H13" s="121" t="str">
        <f>$A$46</f>
        <v>Maan G2</v>
      </c>
      <c r="I13" s="122"/>
      <c r="J13" s="123">
        <v>3</v>
      </c>
      <c r="K13" s="124" t="s">
        <v>294</v>
      </c>
      <c r="L13" s="125">
        <v>0</v>
      </c>
      <c r="M13" s="126" t="str">
        <f>Scheids!$D$9</f>
        <v>Chris van Noordwijk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Freinet G2</v>
      </c>
      <c r="F15" s="121"/>
      <c r="G15" s="118" t="s">
        <v>294</v>
      </c>
      <c r="H15" s="121" t="str">
        <f>$A$43</f>
        <v>Gabriël G2</v>
      </c>
      <c r="I15" s="122"/>
      <c r="J15" s="123">
        <v>0</v>
      </c>
      <c r="K15" s="124" t="s">
        <v>294</v>
      </c>
      <c r="L15" s="125">
        <v>2</v>
      </c>
      <c r="M15" s="126" t="str">
        <f>Scheids!$F$9</f>
        <v>Dik vd Mast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Mozaïek G2</v>
      </c>
      <c r="F16" s="121"/>
      <c r="G16" s="118" t="s">
        <v>294</v>
      </c>
      <c r="H16" s="121" t="str">
        <f>$A$45</f>
        <v>Maria G2</v>
      </c>
      <c r="I16" s="122"/>
      <c r="J16" s="123">
        <v>1</v>
      </c>
      <c r="K16" s="124" t="s">
        <v>294</v>
      </c>
      <c r="L16" s="125">
        <v>1</v>
      </c>
      <c r="M16" s="126" t="str">
        <f>Scheids!$F$9</f>
        <v>Dik vd Mast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G2</v>
      </c>
      <c r="F17" s="121"/>
      <c r="G17" s="118" t="s">
        <v>294</v>
      </c>
      <c r="H17" s="121" t="str">
        <f>$A$47</f>
        <v>Waterhof G1</v>
      </c>
      <c r="I17" s="122"/>
      <c r="J17" s="123">
        <v>0</v>
      </c>
      <c r="K17" s="124" t="s">
        <v>294</v>
      </c>
      <c r="L17" s="125">
        <v>1</v>
      </c>
      <c r="M17" s="126" t="str">
        <f>Scheids!$F$9</f>
        <v>Dik vd Mast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Mozaïek G2</v>
      </c>
      <c r="F19" s="121"/>
      <c r="G19" s="118" t="s">
        <v>294</v>
      </c>
      <c r="H19" s="121" t="str">
        <f>$A$42</f>
        <v>Freinet G2</v>
      </c>
      <c r="I19" s="122"/>
      <c r="J19" s="123">
        <v>4</v>
      </c>
      <c r="K19" s="124" t="s">
        <v>294</v>
      </c>
      <c r="L19" s="125">
        <v>0</v>
      </c>
      <c r="M19" s="126" t="str">
        <f>Scheids!$D$9</f>
        <v>Chris van Noordwijk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Gabriël G2</v>
      </c>
      <c r="F20" s="121"/>
      <c r="G20" s="118" t="s">
        <v>294</v>
      </c>
      <c r="H20" s="121" t="str">
        <f>$A$45</f>
        <v>Maria G2</v>
      </c>
      <c r="I20" s="122"/>
      <c r="J20" s="123">
        <v>0</v>
      </c>
      <c r="K20" s="124" t="s">
        <v>294</v>
      </c>
      <c r="L20" s="125">
        <v>3</v>
      </c>
      <c r="M20" s="126" t="str">
        <f>Scheids!$D$9</f>
        <v>Chris van Noordwijk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Park G1</v>
      </c>
      <c r="F21" s="121"/>
      <c r="G21" s="118" t="s">
        <v>294</v>
      </c>
      <c r="H21" s="121" t="str">
        <f>$A$47</f>
        <v>Waterhof G1</v>
      </c>
      <c r="I21" s="122"/>
      <c r="J21" s="123">
        <v>3</v>
      </c>
      <c r="K21" s="124" t="s">
        <v>294</v>
      </c>
      <c r="L21" s="125">
        <v>0</v>
      </c>
      <c r="M21" s="126" t="str">
        <f>Scheids!$D$9</f>
        <v>Chris van Noordwijk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Park G1</v>
      </c>
      <c r="F23" s="121"/>
      <c r="G23" s="118" t="s">
        <v>294</v>
      </c>
      <c r="H23" s="121" t="str">
        <f>$A$43</f>
        <v>Gabriël G2</v>
      </c>
      <c r="I23" s="122"/>
      <c r="J23" s="123">
        <v>5</v>
      </c>
      <c r="K23" s="124" t="s">
        <v>294</v>
      </c>
      <c r="L23" s="125">
        <v>0</v>
      </c>
      <c r="M23" s="126" t="str">
        <f>Scheids!$F$9</f>
        <v>Dik vd Mast</v>
      </c>
      <c r="N23" s="127"/>
      <c r="O23" s="128"/>
      <c r="Q23" s="129">
        <v>1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G2</v>
      </c>
      <c r="F24" s="121"/>
      <c r="G24" s="118" t="s">
        <v>294</v>
      </c>
      <c r="H24" s="121" t="str">
        <f>$A$44</f>
        <v>Mozaïek G2</v>
      </c>
      <c r="I24" s="122"/>
      <c r="J24" s="123">
        <v>1</v>
      </c>
      <c r="K24" s="124" t="s">
        <v>294</v>
      </c>
      <c r="L24" s="125">
        <v>3</v>
      </c>
      <c r="M24" s="126" t="str">
        <f>Scheids!$F$9</f>
        <v>Dik vd Mast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Freinet G2</v>
      </c>
      <c r="F25" s="121"/>
      <c r="G25" s="118" t="s">
        <v>294</v>
      </c>
      <c r="H25" s="121" t="str">
        <f>$A$47</f>
        <v>Waterhof G1</v>
      </c>
      <c r="I25" s="122"/>
      <c r="J25" s="123">
        <v>0</v>
      </c>
      <c r="K25" s="124" t="s">
        <v>294</v>
      </c>
      <c r="L25" s="125">
        <v>2</v>
      </c>
      <c r="M25" s="126" t="str">
        <f>Scheids!$F$9</f>
        <v>Dik vd Mast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Gabriël G2</v>
      </c>
      <c r="F27" s="121"/>
      <c r="G27" s="118" t="s">
        <v>294</v>
      </c>
      <c r="H27" s="121" t="str">
        <f>$A$46</f>
        <v>Maan G2</v>
      </c>
      <c r="I27" s="122"/>
      <c r="J27" s="123">
        <v>1</v>
      </c>
      <c r="K27" s="124" t="s">
        <v>294</v>
      </c>
      <c r="L27" s="125">
        <v>0</v>
      </c>
      <c r="M27" s="126" t="str">
        <f>Scheids!$D$9</f>
        <v>Chris van Noordwijk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Mozaïek G2</v>
      </c>
      <c r="F29" s="121"/>
      <c r="G29" s="118" t="s">
        <v>294</v>
      </c>
      <c r="H29" s="121" t="str">
        <f>$A$41</f>
        <v>Park G1</v>
      </c>
      <c r="I29" s="122"/>
      <c r="J29" s="123">
        <v>2</v>
      </c>
      <c r="K29" s="124" t="s">
        <v>294</v>
      </c>
      <c r="L29" s="125">
        <v>3</v>
      </c>
      <c r="M29" s="126" t="str">
        <f>Scheids!$D$9</f>
        <v>Chris van Noordwijk</v>
      </c>
      <c r="N29" s="127"/>
      <c r="O29" s="128"/>
      <c r="Q29" s="129">
        <v>2</v>
      </c>
      <c r="R29" s="129">
        <v>0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G1</v>
      </c>
      <c r="F30" s="121"/>
      <c r="G30" s="118" t="s">
        <v>294</v>
      </c>
      <c r="H30" s="121" t="str">
        <f>$A$45</f>
        <v>Maria G2</v>
      </c>
      <c r="I30" s="122"/>
      <c r="J30" s="123">
        <v>0</v>
      </c>
      <c r="K30" s="124" t="s">
        <v>294</v>
      </c>
      <c r="L30" s="125">
        <v>4</v>
      </c>
      <c r="M30" s="126" t="str">
        <f>Scheids!$D$9</f>
        <v>Chris van Noordwijk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Gabriël G2</v>
      </c>
      <c r="F32" s="121"/>
      <c r="G32" s="118" t="s">
        <v>294</v>
      </c>
      <c r="H32" s="121" t="str">
        <f>$A$47</f>
        <v>Waterhof G1</v>
      </c>
      <c r="I32" s="122"/>
      <c r="J32" s="123">
        <v>0</v>
      </c>
      <c r="K32" s="124" t="s">
        <v>294</v>
      </c>
      <c r="L32" s="125">
        <v>1</v>
      </c>
      <c r="M32" s="126" t="str">
        <f>Scheids!$F$9</f>
        <v>Dik vd Mast</v>
      </c>
      <c r="N32" s="127"/>
      <c r="O32" s="128"/>
      <c r="Q32" s="129">
        <v>2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Freinet G2</v>
      </c>
      <c r="F33" s="121"/>
      <c r="G33" s="118" t="s">
        <v>294</v>
      </c>
      <c r="H33" s="121" t="str">
        <f>$A$46</f>
        <v>Maan G2</v>
      </c>
      <c r="I33" s="122"/>
      <c r="J33" s="123">
        <v>0</v>
      </c>
      <c r="K33" s="124" t="s">
        <v>294</v>
      </c>
      <c r="L33" s="125">
        <v>1</v>
      </c>
      <c r="M33" s="126" t="str">
        <f>Scheids!$F$9</f>
        <v>Dik vd Mast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Park G1</v>
      </c>
      <c r="F34" s="121"/>
      <c r="G34" s="118" t="s">
        <v>294</v>
      </c>
      <c r="H34" s="121" t="str">
        <f>$A$45</f>
        <v>Maria G2</v>
      </c>
      <c r="I34" s="122"/>
      <c r="J34" s="123">
        <v>2</v>
      </c>
      <c r="K34" s="124" t="s">
        <v>294</v>
      </c>
      <c r="L34" s="125">
        <v>3</v>
      </c>
      <c r="M34" s="126" t="str">
        <f>Scheids!$F$9</f>
        <v>Dik vd Mast</v>
      </c>
      <c r="N34" s="127"/>
      <c r="O34" s="128"/>
      <c r="Q34" s="129">
        <v>0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G2</v>
      </c>
      <c r="F36" s="121"/>
      <c r="G36" s="118" t="s">
        <v>294</v>
      </c>
      <c r="H36" s="121" t="str">
        <f>$A$41</f>
        <v>Park G1</v>
      </c>
      <c r="I36" s="122"/>
      <c r="J36" s="123"/>
      <c r="K36" s="124" t="s">
        <v>294</v>
      </c>
      <c r="L36" s="125"/>
      <c r="M36" s="126" t="str">
        <f>Scheids!$D$9</f>
        <v>Chris van Noordwijk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G2</v>
      </c>
      <c r="F37" s="121"/>
      <c r="G37" s="118" t="s">
        <v>294</v>
      </c>
      <c r="H37" s="121" t="str">
        <f>$A$42</f>
        <v>Freinet G2</v>
      </c>
      <c r="I37" s="122"/>
      <c r="J37" s="123"/>
      <c r="K37" s="124" t="s">
        <v>294</v>
      </c>
      <c r="L37" s="125"/>
      <c r="M37" s="126" t="str">
        <f>Scheids!$F$9</f>
        <v>Dik vd Mast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G1</v>
      </c>
      <c r="F38" s="136"/>
      <c r="G38" s="133" t="s">
        <v>294</v>
      </c>
      <c r="H38" s="136" t="str">
        <f>$A$44</f>
        <v>Mozaïek G2</v>
      </c>
      <c r="I38" s="137"/>
      <c r="J38" s="138"/>
      <c r="K38" s="139" t="s">
        <v>294</v>
      </c>
      <c r="L38" s="140"/>
      <c r="M38" s="141" t="str">
        <f>Scheids!$F$9</f>
        <v>Dik vd Mast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Scholen!$H$10</f>
        <v>Park G1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9</v>
      </c>
      <c r="Q41" s="152">
        <f t="shared" ref="Q41:Q48" si="0">COUNT(E41:N41)</f>
        <v>5</v>
      </c>
      <c r="R41" s="152">
        <f>COUNTIFS(E41:N41,3)</f>
        <v>3</v>
      </c>
      <c r="S41" s="152">
        <f>COUNTIFS(E41:N41,0)</f>
        <v>2</v>
      </c>
      <c r="T41" s="152">
        <f>COUNTIFS(E41:N41,1)</f>
        <v>0</v>
      </c>
      <c r="U41" s="152">
        <f>J11+L18+J21+J23+L29+J34+L36</f>
        <v>13</v>
      </c>
      <c r="V41" s="152">
        <f>L11+J18+L21+L23+J29+L34+J36</f>
        <v>8</v>
      </c>
      <c r="W41" s="152">
        <f>Q11+R18+Q21+Q23+R29+Q34+R36</f>
        <v>3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Scholen!$H$11</f>
        <v>Freinet G2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0</v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5</v>
      </c>
      <c r="R42" s="152">
        <f t="shared" ref="R42:R48" si="2">COUNTIFS(E42:N42,3)</f>
        <v>1</v>
      </c>
      <c r="S42" s="152">
        <f t="shared" ref="S42:S48" si="3">COUNTIFS(E42:N42,0)</f>
        <v>4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9</v>
      </c>
      <c r="W42" s="152">
        <f>R11+Q15+R19+Q25+Q28+Q33+R37</f>
        <v>9</v>
      </c>
      <c r="X42" s="129">
        <f t="shared" si="1"/>
        <v>6</v>
      </c>
    </row>
    <row r="43" spans="1:24" ht="18.75" customHeight="1" x14ac:dyDescent="0.3">
      <c r="A43" s="154" t="str">
        <f>Scholen!$H$12</f>
        <v>Gabriël G2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2"/>
        <v>2</v>
      </c>
      <c r="S43" s="152">
        <f t="shared" si="3"/>
        <v>4</v>
      </c>
      <c r="T43" s="152">
        <f t="shared" si="4"/>
        <v>0</v>
      </c>
      <c r="U43" s="152">
        <f>J12+L15+J20+L23+J27+J32+L35</f>
        <v>3</v>
      </c>
      <c r="V43" s="152">
        <f>L12+J15+L20+J23+L27+L32+J35</f>
        <v>15</v>
      </c>
      <c r="W43" s="152">
        <f>Q12+R15+Q20+R23+Q27+Q32+R35</f>
        <v>11</v>
      </c>
      <c r="X43" s="129">
        <f t="shared" si="1"/>
        <v>5</v>
      </c>
    </row>
    <row r="44" spans="1:24" ht="18.75" customHeight="1" x14ac:dyDescent="0.3">
      <c r="A44" s="161" t="str">
        <f>Scholen!$H$13</f>
        <v>Mozaïek G2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10</v>
      </c>
      <c r="Q44" s="152">
        <f t="shared" si="0"/>
        <v>5</v>
      </c>
      <c r="R44" s="152">
        <f t="shared" si="2"/>
        <v>3</v>
      </c>
      <c r="S44" s="152">
        <f t="shared" si="3"/>
        <v>1</v>
      </c>
      <c r="T44" s="152">
        <f t="shared" si="4"/>
        <v>1</v>
      </c>
      <c r="U44" s="152">
        <f>L12+J16+J19+L24+J29+L31+L38</f>
        <v>16</v>
      </c>
      <c r="V44" s="152">
        <f>J12+L16+L19+J24+L29+J31+J38</f>
        <v>5</v>
      </c>
      <c r="W44" s="152">
        <f>R12+Q16+Q19+R24+Q29+R31+R38</f>
        <v>10</v>
      </c>
      <c r="X44" s="129">
        <f t="shared" si="1"/>
        <v>2</v>
      </c>
    </row>
    <row r="45" spans="1:24" ht="18.75" customHeight="1" x14ac:dyDescent="0.3">
      <c r="A45" s="154" t="str">
        <f>Scholen!$H$14</f>
        <v>Maria G2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3</v>
      </c>
      <c r="L45" s="158"/>
      <c r="M45" s="156">
        <f>IF(AND($J$34&lt;&gt;"",$L$34&lt;&gt;""),IF($J$34&lt;$L$34,3,IF($J$34=$L$34,1,0)),"")</f>
        <v>3</v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13</v>
      </c>
      <c r="Q45" s="152">
        <f t="shared" si="0"/>
        <v>5</v>
      </c>
      <c r="R45" s="152">
        <f t="shared" si="2"/>
        <v>4</v>
      </c>
      <c r="S45" s="152">
        <f t="shared" si="3"/>
        <v>0</v>
      </c>
      <c r="T45" s="152">
        <f t="shared" si="4"/>
        <v>1</v>
      </c>
      <c r="U45" s="152">
        <f>J13+L16+L20+J26+L30+L34+J37</f>
        <v>14</v>
      </c>
      <c r="V45" s="152">
        <f>L13+J16+J20+L26+J30+J34+L37</f>
        <v>3</v>
      </c>
      <c r="W45" s="152">
        <f>Q13+R16+R20+Q26+R30+R34+Q37</f>
        <v>9</v>
      </c>
      <c r="X45" s="129">
        <f t="shared" si="1"/>
        <v>1</v>
      </c>
    </row>
    <row r="46" spans="1:24" ht="18.75" customHeight="1" x14ac:dyDescent="0.3">
      <c r="A46" s="154" t="str">
        <f>Scholen!$H$15</f>
        <v>Maan G2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3</v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5</v>
      </c>
      <c r="R46" s="152">
        <f t="shared" si="2"/>
        <v>1</v>
      </c>
      <c r="S46" s="152">
        <f t="shared" si="3"/>
        <v>4</v>
      </c>
      <c r="T46" s="152">
        <f t="shared" si="4"/>
        <v>0</v>
      </c>
      <c r="U46" s="152">
        <f>L13+J17+J22+J24+L27+L33+J36</f>
        <v>2</v>
      </c>
      <c r="V46" s="152">
        <f>J13+L17+L22+L24+J27+J33+L36</f>
        <v>8</v>
      </c>
      <c r="W46" s="152">
        <f>R13+Q17+Q22+Q24+R27+R33+Q36</f>
        <v>7</v>
      </c>
      <c r="X46" s="129">
        <f t="shared" si="1"/>
        <v>6</v>
      </c>
    </row>
    <row r="47" spans="1:24" ht="18.75" customHeight="1" x14ac:dyDescent="0.3">
      <c r="A47" s="154" t="str">
        <f>IF(Scholen!$H$16&lt;&gt;"",Scholen!$H$16,"")</f>
        <v>Waterhof G1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0</v>
      </c>
      <c r="L47" s="158"/>
      <c r="M47" s="164">
        <f>IF(AND($J$32&lt;&gt;"",$L$32&lt;&gt;""),IF($J$32&lt;$L$32,3,IF($J$32=$L$32,1,0)),"")</f>
        <v>3</v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9</v>
      </c>
      <c r="Q47" s="152">
        <f t="shared" si="0"/>
        <v>5</v>
      </c>
      <c r="R47" s="152">
        <f t="shared" si="2"/>
        <v>3</v>
      </c>
      <c r="S47" s="152">
        <f t="shared" si="3"/>
        <v>2</v>
      </c>
      <c r="T47" s="152">
        <f t="shared" si="4"/>
        <v>0</v>
      </c>
      <c r="U47" s="152">
        <f>J14+L17+L21+L25+J30+L32+J38</f>
        <v>4</v>
      </c>
      <c r="V47" s="152">
        <f>L14+J17+J21+J25+L30+J32+L38</f>
        <v>7</v>
      </c>
      <c r="W47" s="152">
        <f>Q14+R17+R21+R25+Q30+R32+Q38</f>
        <v>10</v>
      </c>
      <c r="X47" s="129">
        <f t="shared" si="1"/>
        <v>3</v>
      </c>
    </row>
    <row r="48" spans="1:24" ht="18.75" customHeight="1" x14ac:dyDescent="0.3">
      <c r="A48" s="154" t="str">
        <f>IF(Scholen!$H$17&lt;&gt;"",Scholen!$H$17,"")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D48CA-EB87-4658-A1CD-BAAB8A2CF00A}">
  <sheetPr codeName="Blad7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Scholen!$J$8</f>
        <v>Gemengd</v>
      </c>
      <c r="F8" s="81"/>
      <c r="G8" s="81"/>
      <c r="H8" s="82" t="s">
        <v>1</v>
      </c>
      <c r="I8" s="83" t="s">
        <v>6</v>
      </c>
      <c r="J8" s="81" t="s">
        <v>11</v>
      </c>
      <c r="K8" s="84">
        <f>Scholen!$K$7</f>
        <v>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Vermeer G1</v>
      </c>
      <c r="F11" s="107"/>
      <c r="G11" s="104" t="s">
        <v>294</v>
      </c>
      <c r="H11" s="107" t="str">
        <f>$A$42</f>
        <v>Schatkaart G2</v>
      </c>
      <c r="I11" s="108"/>
      <c r="J11" s="109">
        <v>2</v>
      </c>
      <c r="K11" s="110" t="s">
        <v>294</v>
      </c>
      <c r="L11" s="111">
        <v>0</v>
      </c>
      <c r="M11" s="112" t="str">
        <f>Scheids!$D$10</f>
        <v>Dion Dingler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Freinet G3</v>
      </c>
      <c r="F12" s="121"/>
      <c r="G12" s="118" t="s">
        <v>294</v>
      </c>
      <c r="H12" s="121" t="str">
        <f>$A$44</f>
        <v>Gabriël G3</v>
      </c>
      <c r="I12" s="122"/>
      <c r="J12" s="123">
        <v>2</v>
      </c>
      <c r="K12" s="124" t="s">
        <v>294</v>
      </c>
      <c r="L12" s="125">
        <v>1</v>
      </c>
      <c r="M12" s="126" t="str">
        <f>Scheids!$D$10</f>
        <v>Dion Dingler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G3</v>
      </c>
      <c r="F13" s="121"/>
      <c r="G13" s="118" t="s">
        <v>294</v>
      </c>
      <c r="H13" s="121" t="str">
        <f>$A$46</f>
        <v>Maria G3</v>
      </c>
      <c r="I13" s="122"/>
      <c r="J13" s="123">
        <v>0</v>
      </c>
      <c r="K13" s="124" t="s">
        <v>294</v>
      </c>
      <c r="L13" s="125">
        <v>4</v>
      </c>
      <c r="M13" s="126" t="str">
        <f>Scheids!$D$10</f>
        <v>Dion Dingler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Schatkaart G2</v>
      </c>
      <c r="F15" s="121"/>
      <c r="G15" s="118" t="s">
        <v>294</v>
      </c>
      <c r="H15" s="121" t="str">
        <f>$A$43</f>
        <v>Freinet G3</v>
      </c>
      <c r="I15" s="122"/>
      <c r="J15" s="123">
        <v>3</v>
      </c>
      <c r="K15" s="124" t="s">
        <v>294</v>
      </c>
      <c r="L15" s="125">
        <v>0</v>
      </c>
      <c r="M15" s="126" t="str">
        <f>Scheids!$F$10</f>
        <v>Henk Priem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G3</v>
      </c>
      <c r="F16" s="121"/>
      <c r="G16" s="118" t="s">
        <v>294</v>
      </c>
      <c r="H16" s="121" t="str">
        <f>$A$45</f>
        <v>Mozaïek G3</v>
      </c>
      <c r="I16" s="122"/>
      <c r="J16" s="123">
        <v>3</v>
      </c>
      <c r="K16" s="124" t="s">
        <v>294</v>
      </c>
      <c r="L16" s="125">
        <v>0</v>
      </c>
      <c r="M16" s="126" t="str">
        <f>Scheids!$F$10</f>
        <v>Henk Priem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G3</v>
      </c>
      <c r="F17" s="121"/>
      <c r="G17" s="118" t="s">
        <v>294</v>
      </c>
      <c r="H17" s="121" t="str">
        <f>$A$47</f>
        <v>Widar G1</v>
      </c>
      <c r="I17" s="122"/>
      <c r="J17" s="123">
        <v>4</v>
      </c>
      <c r="K17" s="124" t="s">
        <v>294</v>
      </c>
      <c r="L17" s="125">
        <v>0</v>
      </c>
      <c r="M17" s="126" t="str">
        <f>Scheids!$F$10</f>
        <v>Henk Priem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G3</v>
      </c>
      <c r="F19" s="121"/>
      <c r="G19" s="118" t="s">
        <v>294</v>
      </c>
      <c r="H19" s="121" t="str">
        <f>$A$42</f>
        <v>Schatkaart G2</v>
      </c>
      <c r="I19" s="122"/>
      <c r="J19" s="123">
        <v>0</v>
      </c>
      <c r="K19" s="124" t="s">
        <v>294</v>
      </c>
      <c r="L19" s="125">
        <v>2</v>
      </c>
      <c r="M19" s="126" t="str">
        <f>Scheids!$D$10</f>
        <v>Dion Dingler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Freinet G3</v>
      </c>
      <c r="F20" s="121"/>
      <c r="G20" s="118" t="s">
        <v>294</v>
      </c>
      <c r="H20" s="121" t="str">
        <f>$A$45</f>
        <v>Mozaïek G3</v>
      </c>
      <c r="I20" s="122"/>
      <c r="J20" s="123">
        <v>4</v>
      </c>
      <c r="K20" s="124" t="s">
        <v>294</v>
      </c>
      <c r="L20" s="125">
        <v>0</v>
      </c>
      <c r="M20" s="126" t="str">
        <f>Scheids!$D$10</f>
        <v>Dion Dingler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Vermeer G1</v>
      </c>
      <c r="F21" s="121"/>
      <c r="G21" s="118" t="s">
        <v>294</v>
      </c>
      <c r="H21" s="121" t="str">
        <f>$A$47</f>
        <v>Widar G1</v>
      </c>
      <c r="I21" s="122"/>
      <c r="J21" s="123">
        <v>5</v>
      </c>
      <c r="K21" s="124" t="s">
        <v>294</v>
      </c>
      <c r="L21" s="125">
        <v>0</v>
      </c>
      <c r="M21" s="126" t="str">
        <f>Scheids!$D$10</f>
        <v>Dion Dingler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Vermeer G1</v>
      </c>
      <c r="F23" s="121"/>
      <c r="G23" s="118" t="s">
        <v>294</v>
      </c>
      <c r="H23" s="121" t="str">
        <f>$A$43</f>
        <v>Freinet G3</v>
      </c>
      <c r="I23" s="122"/>
      <c r="J23" s="123">
        <v>2</v>
      </c>
      <c r="K23" s="124" t="s">
        <v>294</v>
      </c>
      <c r="L23" s="125">
        <v>0</v>
      </c>
      <c r="M23" s="126" t="str">
        <f>Scheids!$F$10</f>
        <v>Henk Priem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G3</v>
      </c>
      <c r="F24" s="121"/>
      <c r="G24" s="118" t="s">
        <v>294</v>
      </c>
      <c r="H24" s="121" t="str">
        <f>$A$44</f>
        <v>Gabriël G3</v>
      </c>
      <c r="I24" s="122"/>
      <c r="J24" s="123">
        <v>4</v>
      </c>
      <c r="K24" s="124" t="s">
        <v>294</v>
      </c>
      <c r="L24" s="125">
        <v>0</v>
      </c>
      <c r="M24" s="126" t="str">
        <f>Scheids!$F$10</f>
        <v>Henk Priem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Schatkaart G2</v>
      </c>
      <c r="F25" s="121"/>
      <c r="G25" s="118" t="s">
        <v>294</v>
      </c>
      <c r="H25" s="121" t="str">
        <f>$A$47</f>
        <v>Widar G1</v>
      </c>
      <c r="I25" s="122"/>
      <c r="J25" s="123">
        <v>6</v>
      </c>
      <c r="K25" s="124" t="s">
        <v>294</v>
      </c>
      <c r="L25" s="125">
        <v>0</v>
      </c>
      <c r="M25" s="126" t="str">
        <f>Scheids!$F$10</f>
        <v>Henk Priem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Freinet G3</v>
      </c>
      <c r="F27" s="121"/>
      <c r="G27" s="118" t="s">
        <v>294</v>
      </c>
      <c r="H27" s="121" t="str">
        <f>$A$46</f>
        <v>Maria G3</v>
      </c>
      <c r="I27" s="122"/>
      <c r="J27" s="123">
        <v>0</v>
      </c>
      <c r="K27" s="124" t="s">
        <v>294</v>
      </c>
      <c r="L27" s="125">
        <v>1</v>
      </c>
      <c r="M27" s="126" t="str">
        <f>Scheids!$D$10</f>
        <v>Dion Dingler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G3</v>
      </c>
      <c r="F29" s="121"/>
      <c r="G29" s="118" t="s">
        <v>294</v>
      </c>
      <c r="H29" s="121" t="str">
        <f>$A$41</f>
        <v>Vermeer G1</v>
      </c>
      <c r="I29" s="122"/>
      <c r="J29" s="123">
        <v>0</v>
      </c>
      <c r="K29" s="124" t="s">
        <v>294</v>
      </c>
      <c r="L29" s="125">
        <v>0</v>
      </c>
      <c r="M29" s="126" t="str">
        <f>Scheids!$D$10</f>
        <v>Dion Dingler</v>
      </c>
      <c r="N29" s="127"/>
      <c r="O29" s="128"/>
      <c r="Q29" s="129">
        <v>0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G1</v>
      </c>
      <c r="F30" s="121"/>
      <c r="G30" s="118" t="s">
        <v>294</v>
      </c>
      <c r="H30" s="121" t="str">
        <f>$A$45</f>
        <v>Mozaïek G3</v>
      </c>
      <c r="I30" s="122"/>
      <c r="J30" s="123">
        <v>0</v>
      </c>
      <c r="K30" s="124" t="s">
        <v>294</v>
      </c>
      <c r="L30" s="125">
        <v>0</v>
      </c>
      <c r="M30" s="126" t="str">
        <f>Scheids!$D$10</f>
        <v>Dion Dingler</v>
      </c>
      <c r="N30" s="127"/>
      <c r="O30" s="128"/>
      <c r="Q30" s="129">
        <v>1</v>
      </c>
      <c r="R30" s="129">
        <v>1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Freinet G3</v>
      </c>
      <c r="F32" s="121"/>
      <c r="G32" s="118" t="s">
        <v>294</v>
      </c>
      <c r="H32" s="121" t="str">
        <f>$A$47</f>
        <v>Widar G1</v>
      </c>
      <c r="I32" s="122"/>
      <c r="J32" s="123">
        <v>3</v>
      </c>
      <c r="K32" s="124" t="s">
        <v>294</v>
      </c>
      <c r="L32" s="125">
        <v>0</v>
      </c>
      <c r="M32" s="126" t="str">
        <f>Scheids!$F$10</f>
        <v>Henk Priem</v>
      </c>
      <c r="N32" s="127"/>
      <c r="O32" s="128"/>
      <c r="Q32" s="129">
        <v>2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Schatkaart G2</v>
      </c>
      <c r="F33" s="121"/>
      <c r="G33" s="118" t="s">
        <v>294</v>
      </c>
      <c r="H33" s="121" t="str">
        <f>$A$46</f>
        <v>Maria G3</v>
      </c>
      <c r="I33" s="122"/>
      <c r="J33" s="123">
        <v>2</v>
      </c>
      <c r="K33" s="124" t="s">
        <v>294</v>
      </c>
      <c r="L33" s="125">
        <v>0</v>
      </c>
      <c r="M33" s="126" t="str">
        <f>Scheids!$F$10</f>
        <v>Henk Priem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Vermeer G1</v>
      </c>
      <c r="F34" s="121"/>
      <c r="G34" s="118" t="s">
        <v>294</v>
      </c>
      <c r="H34" s="121" t="str">
        <f>$A$45</f>
        <v>Mozaïek G3</v>
      </c>
      <c r="I34" s="122"/>
      <c r="J34" s="123">
        <v>5</v>
      </c>
      <c r="K34" s="124" t="s">
        <v>294</v>
      </c>
      <c r="L34" s="125">
        <v>0</v>
      </c>
      <c r="M34" s="126" t="str">
        <f>Scheids!$F$10</f>
        <v>Henk Priem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G3</v>
      </c>
      <c r="F36" s="121"/>
      <c r="G36" s="118" t="s">
        <v>294</v>
      </c>
      <c r="H36" s="121" t="str">
        <f>$A$41</f>
        <v>Vermeer G1</v>
      </c>
      <c r="I36" s="122"/>
      <c r="J36" s="123"/>
      <c r="K36" s="124" t="s">
        <v>294</v>
      </c>
      <c r="L36" s="125"/>
      <c r="M36" s="126" t="str">
        <f>Scheids!$D$10</f>
        <v>Dion Dingler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G3</v>
      </c>
      <c r="F37" s="121"/>
      <c r="G37" s="118" t="s">
        <v>294</v>
      </c>
      <c r="H37" s="121" t="str">
        <f>$A$42</f>
        <v>Schatkaart G2</v>
      </c>
      <c r="I37" s="122"/>
      <c r="J37" s="123"/>
      <c r="K37" s="124" t="s">
        <v>294</v>
      </c>
      <c r="L37" s="125"/>
      <c r="M37" s="126" t="str">
        <f>Scheids!$F$10</f>
        <v>Henk Priem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G1</v>
      </c>
      <c r="F38" s="136"/>
      <c r="G38" s="133" t="s">
        <v>294</v>
      </c>
      <c r="H38" s="136" t="str">
        <f>$A$44</f>
        <v>Gabriël G3</v>
      </c>
      <c r="I38" s="137"/>
      <c r="J38" s="138"/>
      <c r="K38" s="139" t="s">
        <v>294</v>
      </c>
      <c r="L38" s="140"/>
      <c r="M38" s="141" t="str">
        <f>Scheids!$F$10</f>
        <v>Henk Priem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Scholen!$J$10</f>
        <v>Vermeer G1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3</v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13</v>
      </c>
      <c r="Q41" s="152">
        <f t="shared" ref="Q41:Q48" si="0">COUNT(E41:N41)</f>
        <v>5</v>
      </c>
      <c r="R41" s="152">
        <f>COUNTIFS(E41:N41,3)</f>
        <v>4</v>
      </c>
      <c r="S41" s="152">
        <f>COUNTIFS(E41:N41,0)</f>
        <v>0</v>
      </c>
      <c r="T41" s="152">
        <f>COUNTIFS(E41:N41,1)</f>
        <v>1</v>
      </c>
      <c r="U41" s="152">
        <f>J11+L18+J21+J23+L29+J34+L36</f>
        <v>14</v>
      </c>
      <c r="V41" s="152">
        <f>L11+J18+L21+L23+J29+L34+J36</f>
        <v>0</v>
      </c>
      <c r="W41" s="152">
        <f>Q11+R18+Q21+Q23+R29+Q34+R36</f>
        <v>7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Scholen!$J$11</f>
        <v>Schatkaart G2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12</v>
      </c>
      <c r="Q42" s="152">
        <f t="shared" si="0"/>
        <v>5</v>
      </c>
      <c r="R42" s="152">
        <f t="shared" ref="R42:R48" si="2">COUNTIFS(E42:N42,3)</f>
        <v>4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13</v>
      </c>
      <c r="V42" s="152">
        <f>J11+L15+J19+L25+L28+L33+J37</f>
        <v>2</v>
      </c>
      <c r="W42" s="152">
        <f>R11+Q15+R19+Q25+Q28+Q33+R37</f>
        <v>6</v>
      </c>
      <c r="X42" s="129">
        <f t="shared" si="1"/>
        <v>2</v>
      </c>
    </row>
    <row r="43" spans="1:24" ht="18.75" customHeight="1" x14ac:dyDescent="0.3">
      <c r="A43" s="154" t="str">
        <f>Scholen!$J$12</f>
        <v>Freinet G3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3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9</v>
      </c>
      <c r="Q43" s="152">
        <f t="shared" si="0"/>
        <v>6</v>
      </c>
      <c r="R43" s="152">
        <f t="shared" si="2"/>
        <v>3</v>
      </c>
      <c r="S43" s="152">
        <f t="shared" si="3"/>
        <v>3</v>
      </c>
      <c r="T43" s="152">
        <f t="shared" si="4"/>
        <v>0</v>
      </c>
      <c r="U43" s="152">
        <f>J12+L15+J20+L23+J27+J32+L35</f>
        <v>9</v>
      </c>
      <c r="V43" s="152">
        <f>L12+J15+L20+J23+L27+L32+J35</f>
        <v>7</v>
      </c>
      <c r="W43" s="152">
        <f>Q12+R15+Q20+R23+Q27+Q32+R35</f>
        <v>9</v>
      </c>
      <c r="X43" s="129">
        <f t="shared" si="1"/>
        <v>4</v>
      </c>
    </row>
    <row r="44" spans="1:24" ht="18.75" customHeight="1" x14ac:dyDescent="0.3">
      <c r="A44" s="161" t="str">
        <f>Scholen!$J$13</f>
        <v>Gabriël G3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4</v>
      </c>
      <c r="Q44" s="152">
        <f t="shared" si="0"/>
        <v>5</v>
      </c>
      <c r="R44" s="152">
        <f t="shared" si="2"/>
        <v>1</v>
      </c>
      <c r="S44" s="152">
        <f t="shared" si="3"/>
        <v>3</v>
      </c>
      <c r="T44" s="152">
        <f t="shared" si="4"/>
        <v>1</v>
      </c>
      <c r="U44" s="152">
        <f>L12+J16+J19+L24+J29+L31+L38</f>
        <v>4</v>
      </c>
      <c r="V44" s="152">
        <f>J12+L16+L19+J24+L29+J31+J38</f>
        <v>8</v>
      </c>
      <c r="W44" s="152">
        <f>R12+Q16+Q19+R24+Q29+R31+R38</f>
        <v>4</v>
      </c>
      <c r="X44" s="129">
        <f t="shared" si="1"/>
        <v>5</v>
      </c>
    </row>
    <row r="45" spans="1:24" ht="18.75" customHeight="1" x14ac:dyDescent="0.3">
      <c r="A45" s="154" t="str">
        <f>Scholen!$J$14</f>
        <v>Mozaïek G3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0</v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</v>
      </c>
      <c r="Q45" s="152">
        <f t="shared" si="0"/>
        <v>5</v>
      </c>
      <c r="R45" s="152">
        <f t="shared" si="2"/>
        <v>0</v>
      </c>
      <c r="S45" s="152">
        <f t="shared" si="3"/>
        <v>4</v>
      </c>
      <c r="T45" s="152">
        <f t="shared" si="4"/>
        <v>1</v>
      </c>
      <c r="U45" s="152">
        <f>J13+L16+L20+J26+L30+L34+J37</f>
        <v>0</v>
      </c>
      <c r="V45" s="152">
        <f>L13+J16+J20+L26+J30+J34+L37</f>
        <v>16</v>
      </c>
      <c r="W45" s="152">
        <f>Q13+R16+R20+Q26+R30+R34+Q37</f>
        <v>7</v>
      </c>
      <c r="X45" s="129">
        <f t="shared" si="1"/>
        <v>6</v>
      </c>
    </row>
    <row r="46" spans="1:24" ht="18.75" customHeight="1" x14ac:dyDescent="0.3">
      <c r="A46" s="154" t="str">
        <f>Scholen!$J$15</f>
        <v>Maria G3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0</v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12</v>
      </c>
      <c r="Q46" s="152">
        <f t="shared" si="0"/>
        <v>5</v>
      </c>
      <c r="R46" s="152">
        <f t="shared" si="2"/>
        <v>4</v>
      </c>
      <c r="S46" s="152">
        <f t="shared" si="3"/>
        <v>1</v>
      </c>
      <c r="T46" s="152">
        <f t="shared" si="4"/>
        <v>0</v>
      </c>
      <c r="U46" s="152">
        <f>L13+J17+J22+J24+L27+L33+J36</f>
        <v>13</v>
      </c>
      <c r="V46" s="152">
        <f>J13+L17+L22+L24+J27+J33+L36</f>
        <v>2</v>
      </c>
      <c r="W46" s="152">
        <f>R13+Q17+Q22+Q24+R27+R33+Q36</f>
        <v>7</v>
      </c>
      <c r="X46" s="129">
        <f t="shared" si="1"/>
        <v>2</v>
      </c>
    </row>
    <row r="47" spans="1:24" ht="18.75" customHeight="1" x14ac:dyDescent="0.3">
      <c r="A47" s="154" t="str">
        <f>IF(Scholen!$J$16&lt;&gt;"",Scholen!$J$16,"")</f>
        <v>Widar G1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0</v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</v>
      </c>
      <c r="Q47" s="152">
        <f t="shared" si="0"/>
        <v>5</v>
      </c>
      <c r="R47" s="152">
        <f t="shared" si="2"/>
        <v>0</v>
      </c>
      <c r="S47" s="152">
        <f t="shared" si="3"/>
        <v>4</v>
      </c>
      <c r="T47" s="152">
        <f t="shared" si="4"/>
        <v>1</v>
      </c>
      <c r="U47" s="152">
        <f>J14+L17+L21+L25+J30+L32+J38</f>
        <v>0</v>
      </c>
      <c r="V47" s="152">
        <f>L14+J17+J21+J25+L30+J32+L38</f>
        <v>18</v>
      </c>
      <c r="W47" s="152">
        <f>Q14+R17+R21+R25+Q30+R32+Q38</f>
        <v>6</v>
      </c>
      <c r="X47" s="129">
        <f t="shared" si="1"/>
        <v>6</v>
      </c>
    </row>
    <row r="48" spans="1:24" ht="18.75" customHeight="1" x14ac:dyDescent="0.3">
      <c r="A48" s="154" t="str">
        <f>IF(Scholen!$J$17&lt;&gt;"",Scholen!$J$17,"")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33ADF-CB41-43A7-A39F-6A45A778BE9B}">
  <sheetPr codeName="Blad8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Scholen!$L$8</f>
        <v>Gemengd</v>
      </c>
      <c r="F8" s="81"/>
      <c r="G8" s="81"/>
      <c r="H8" s="82" t="s">
        <v>1</v>
      </c>
      <c r="I8" s="83" t="s">
        <v>7</v>
      </c>
      <c r="J8" s="81" t="s">
        <v>11</v>
      </c>
      <c r="K8" s="84">
        <f>Scholen!$M$7</f>
        <v>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G1</v>
      </c>
      <c r="F11" s="107"/>
      <c r="G11" s="104" t="s">
        <v>294</v>
      </c>
      <c r="H11" s="107" t="str">
        <f>$A$42</f>
        <v>Oostpoort G1</v>
      </c>
      <c r="I11" s="108"/>
      <c r="J11" s="109">
        <v>0</v>
      </c>
      <c r="K11" s="110" t="s">
        <v>294</v>
      </c>
      <c r="L11" s="111">
        <v>4</v>
      </c>
      <c r="M11" s="112" t="str">
        <f>Scheids!$D$11</f>
        <v>Leo Boer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 Delft G2</v>
      </c>
      <c r="F12" s="121"/>
      <c r="G12" s="118" t="s">
        <v>294</v>
      </c>
      <c r="H12" s="121" t="str">
        <f>$A$44</f>
        <v>Maan G3</v>
      </c>
      <c r="I12" s="122"/>
      <c r="J12" s="123">
        <v>0</v>
      </c>
      <c r="K12" s="124" t="s">
        <v>294</v>
      </c>
      <c r="L12" s="125">
        <v>0</v>
      </c>
      <c r="M12" s="126" t="str">
        <f>Scheids!$D$11</f>
        <v>Leo Boer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Horizon G1</v>
      </c>
      <c r="F13" s="121"/>
      <c r="G13" s="118" t="s">
        <v>294</v>
      </c>
      <c r="H13" s="121" t="str">
        <f>$A$46</f>
        <v>Regenboog G1</v>
      </c>
      <c r="I13" s="122"/>
      <c r="J13" s="123">
        <v>0</v>
      </c>
      <c r="K13" s="124" t="s">
        <v>294</v>
      </c>
      <c r="L13" s="125">
        <v>1</v>
      </c>
      <c r="M13" s="126" t="str">
        <f>Scheids!$D$11</f>
        <v>Leo Boer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Oostpoort G1</v>
      </c>
      <c r="F15" s="121"/>
      <c r="G15" s="118" t="s">
        <v>294</v>
      </c>
      <c r="H15" s="121" t="str">
        <f>$A$43</f>
        <v>M Delft G2</v>
      </c>
      <c r="I15" s="122"/>
      <c r="J15" s="123">
        <v>2</v>
      </c>
      <c r="K15" s="124" t="s">
        <v>294</v>
      </c>
      <c r="L15" s="125">
        <v>2</v>
      </c>
      <c r="M15" s="126" t="str">
        <f>Scheids!$F$11</f>
        <v>Lars v Gassel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G3</v>
      </c>
      <c r="F16" s="121"/>
      <c r="G16" s="118" t="s">
        <v>294</v>
      </c>
      <c r="H16" s="121" t="str">
        <f>$A$45</f>
        <v>Horizon G1</v>
      </c>
      <c r="I16" s="122"/>
      <c r="J16" s="123">
        <v>3</v>
      </c>
      <c r="K16" s="124" t="s">
        <v>294</v>
      </c>
      <c r="L16" s="125">
        <v>0</v>
      </c>
      <c r="M16" s="126" t="str">
        <f>Scheids!$F$11</f>
        <v>Lars v Gassel</v>
      </c>
      <c r="N16" s="127"/>
      <c r="O16" s="128"/>
      <c r="Q16" s="129">
        <v>2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Regenboog G1</v>
      </c>
      <c r="F17" s="121"/>
      <c r="G17" s="118" t="s">
        <v>294</v>
      </c>
      <c r="H17" s="121" t="str">
        <f>$A$47</f>
        <v>Cornelis G2</v>
      </c>
      <c r="I17" s="122"/>
      <c r="J17" s="123">
        <v>0</v>
      </c>
      <c r="K17" s="124" t="s">
        <v>294</v>
      </c>
      <c r="L17" s="125">
        <v>0</v>
      </c>
      <c r="M17" s="126" t="str">
        <f>Scheids!$F$11</f>
        <v>Lars v Gassel</v>
      </c>
      <c r="N17" s="127"/>
      <c r="O17" s="128"/>
      <c r="Q17" s="129">
        <v>1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G3</v>
      </c>
      <c r="F19" s="121"/>
      <c r="G19" s="118" t="s">
        <v>294</v>
      </c>
      <c r="H19" s="121" t="str">
        <f>$A$42</f>
        <v>Oostpoort G1</v>
      </c>
      <c r="I19" s="122"/>
      <c r="J19" s="123">
        <v>1</v>
      </c>
      <c r="K19" s="124" t="s">
        <v>294</v>
      </c>
      <c r="L19" s="125">
        <v>2</v>
      </c>
      <c r="M19" s="126" t="str">
        <f>Scheids!$D$11</f>
        <v>Leo Boer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 Delft G2</v>
      </c>
      <c r="F20" s="121"/>
      <c r="G20" s="118" t="s">
        <v>294</v>
      </c>
      <c r="H20" s="121" t="str">
        <f>$A$45</f>
        <v>Horizon G1</v>
      </c>
      <c r="I20" s="122"/>
      <c r="J20" s="123">
        <v>2</v>
      </c>
      <c r="K20" s="124" t="s">
        <v>294</v>
      </c>
      <c r="L20" s="125">
        <v>0</v>
      </c>
      <c r="M20" s="126" t="str">
        <f>Scheids!$D$11</f>
        <v>Leo Boer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G1</v>
      </c>
      <c r="F21" s="121"/>
      <c r="G21" s="118" t="s">
        <v>294</v>
      </c>
      <c r="H21" s="121" t="str">
        <f>$A$47</f>
        <v>Cornelis G2</v>
      </c>
      <c r="I21" s="122"/>
      <c r="J21" s="123">
        <v>0</v>
      </c>
      <c r="K21" s="124" t="s">
        <v>294</v>
      </c>
      <c r="L21" s="125">
        <v>0</v>
      </c>
      <c r="M21" s="126" t="str">
        <f>Scheids!$D$11</f>
        <v>Leo Boer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G1</v>
      </c>
      <c r="F23" s="121"/>
      <c r="G23" s="118" t="s">
        <v>294</v>
      </c>
      <c r="H23" s="121" t="str">
        <f>$A$43</f>
        <v>M Delft G2</v>
      </c>
      <c r="I23" s="122"/>
      <c r="J23" s="123">
        <v>0</v>
      </c>
      <c r="K23" s="124" t="s">
        <v>294</v>
      </c>
      <c r="L23" s="125">
        <v>3</v>
      </c>
      <c r="M23" s="126" t="str">
        <f>Scheids!$F$11</f>
        <v>Lars v Gassel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Regenboog G1</v>
      </c>
      <c r="F24" s="121"/>
      <c r="G24" s="118" t="s">
        <v>294</v>
      </c>
      <c r="H24" s="121" t="str">
        <f>$A$44</f>
        <v>Maan G3</v>
      </c>
      <c r="I24" s="122"/>
      <c r="J24" s="123">
        <v>3</v>
      </c>
      <c r="K24" s="124" t="s">
        <v>294</v>
      </c>
      <c r="L24" s="125">
        <v>0</v>
      </c>
      <c r="M24" s="126" t="str">
        <f>Scheids!$F$11</f>
        <v>Lars v Gassel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Oostpoort G1</v>
      </c>
      <c r="F25" s="121"/>
      <c r="G25" s="118" t="s">
        <v>294</v>
      </c>
      <c r="H25" s="121" t="str">
        <f>$A$47</f>
        <v>Cornelis G2</v>
      </c>
      <c r="I25" s="122"/>
      <c r="J25" s="123">
        <v>3</v>
      </c>
      <c r="K25" s="124" t="s">
        <v>294</v>
      </c>
      <c r="L25" s="125">
        <v>0</v>
      </c>
      <c r="M25" s="126" t="str">
        <f>Scheids!$F$11</f>
        <v>Lars v Gassel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 Delft G2</v>
      </c>
      <c r="F27" s="121"/>
      <c r="G27" s="118" t="s">
        <v>294</v>
      </c>
      <c r="H27" s="121" t="str">
        <f>$A$46</f>
        <v>Regenboog G1</v>
      </c>
      <c r="I27" s="122"/>
      <c r="J27" s="123">
        <v>2</v>
      </c>
      <c r="K27" s="124" t="s">
        <v>294</v>
      </c>
      <c r="L27" s="125">
        <v>2</v>
      </c>
      <c r="M27" s="126" t="str">
        <f>Scheids!$D$11</f>
        <v>Leo Boer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G3</v>
      </c>
      <c r="F29" s="121"/>
      <c r="G29" s="118" t="s">
        <v>294</v>
      </c>
      <c r="H29" s="121" t="str">
        <f>$A$41</f>
        <v>Max G1</v>
      </c>
      <c r="I29" s="122"/>
      <c r="J29" s="123">
        <v>2</v>
      </c>
      <c r="K29" s="124" t="s">
        <v>294</v>
      </c>
      <c r="L29" s="125">
        <v>0</v>
      </c>
      <c r="M29" s="126" t="str">
        <f>Scheids!$D$11</f>
        <v>Leo Boer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G2</v>
      </c>
      <c r="F30" s="121"/>
      <c r="G30" s="118" t="s">
        <v>294</v>
      </c>
      <c r="H30" s="121" t="str">
        <f>$A$45</f>
        <v>Horizon G1</v>
      </c>
      <c r="I30" s="122"/>
      <c r="J30" s="123">
        <v>2</v>
      </c>
      <c r="K30" s="124" t="s">
        <v>294</v>
      </c>
      <c r="L30" s="125">
        <v>0</v>
      </c>
      <c r="M30" s="126" t="str">
        <f>Scheids!$D$11</f>
        <v>Leo Boer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 Delft G2</v>
      </c>
      <c r="F32" s="121"/>
      <c r="G32" s="118" t="s">
        <v>294</v>
      </c>
      <c r="H32" s="121" t="str">
        <f>$A$47</f>
        <v>Cornelis G2</v>
      </c>
      <c r="I32" s="122"/>
      <c r="J32" s="123">
        <v>3</v>
      </c>
      <c r="K32" s="124" t="s">
        <v>294</v>
      </c>
      <c r="L32" s="125">
        <v>0</v>
      </c>
      <c r="M32" s="126" t="str">
        <f>Scheids!$F$11</f>
        <v>Lars v Gassel</v>
      </c>
      <c r="N32" s="127"/>
      <c r="O32" s="128"/>
      <c r="Q32" s="129">
        <v>1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Oostpoort G1</v>
      </c>
      <c r="F33" s="121"/>
      <c r="G33" s="118" t="s">
        <v>294</v>
      </c>
      <c r="H33" s="121" t="str">
        <f>$A$46</f>
        <v>Regenboog G1</v>
      </c>
      <c r="I33" s="122"/>
      <c r="J33" s="123">
        <v>1</v>
      </c>
      <c r="K33" s="124" t="s">
        <v>294</v>
      </c>
      <c r="L33" s="125">
        <v>1</v>
      </c>
      <c r="M33" s="126" t="str">
        <f>Scheids!$F$11</f>
        <v>Lars v Gassel</v>
      </c>
      <c r="N33" s="127"/>
      <c r="O33" s="128"/>
      <c r="Q33" s="129">
        <v>2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G1</v>
      </c>
      <c r="F34" s="121"/>
      <c r="G34" s="118" t="s">
        <v>294</v>
      </c>
      <c r="H34" s="121" t="str">
        <f>$A$45</f>
        <v>Horizon G1</v>
      </c>
      <c r="I34" s="122"/>
      <c r="J34" s="123">
        <v>0</v>
      </c>
      <c r="K34" s="124" t="s">
        <v>294</v>
      </c>
      <c r="L34" s="125">
        <v>0</v>
      </c>
      <c r="M34" s="126" t="str">
        <f>Scheids!$F$11</f>
        <v>Lars v Gassel</v>
      </c>
      <c r="N34" s="127"/>
      <c r="O34" s="128"/>
      <c r="Q34" s="129">
        <v>2</v>
      </c>
      <c r="R34" s="129">
        <v>2</v>
      </c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Regenboog G1</v>
      </c>
      <c r="F36" s="121"/>
      <c r="G36" s="118" t="s">
        <v>294</v>
      </c>
      <c r="H36" s="121" t="str">
        <f>$A$41</f>
        <v>Max G1</v>
      </c>
      <c r="I36" s="122"/>
      <c r="J36" s="123"/>
      <c r="K36" s="124" t="s">
        <v>294</v>
      </c>
      <c r="L36" s="125"/>
      <c r="M36" s="126" t="str">
        <f>Scheids!$D$11</f>
        <v>Leo Boer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Horizon G1</v>
      </c>
      <c r="F37" s="121"/>
      <c r="G37" s="118" t="s">
        <v>294</v>
      </c>
      <c r="H37" s="121" t="str">
        <f>$A$42</f>
        <v>Oostpoort G1</v>
      </c>
      <c r="I37" s="122"/>
      <c r="J37" s="123"/>
      <c r="K37" s="124" t="s">
        <v>294</v>
      </c>
      <c r="L37" s="125"/>
      <c r="M37" s="126" t="str">
        <f>Scheids!$F$11</f>
        <v>Lars v Gassel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G2</v>
      </c>
      <c r="F38" s="136"/>
      <c r="G38" s="133" t="s">
        <v>294</v>
      </c>
      <c r="H38" s="136" t="str">
        <f>$A$44</f>
        <v>Maan G3</v>
      </c>
      <c r="I38" s="137"/>
      <c r="J38" s="138"/>
      <c r="K38" s="139" t="s">
        <v>294</v>
      </c>
      <c r="L38" s="140"/>
      <c r="M38" s="141" t="str">
        <f>Scheids!$F$11</f>
        <v>Lars v Gassel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Scholen!$L$10</f>
        <v>Max G1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>
        <f>IF(AND($J$34&lt;&gt;"",$L$34&lt;&gt;""),IF($J$34&gt;$L$34,3,IF($J$34=$L$34,1,0)),"")</f>
        <v>1</v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2</v>
      </c>
      <c r="Q41" s="152">
        <f t="shared" ref="Q41:Q48" si="0">COUNT(E41:N41)</f>
        <v>5</v>
      </c>
      <c r="R41" s="152">
        <f>COUNTIFS(E41:N41,3)</f>
        <v>0</v>
      </c>
      <c r="S41" s="152">
        <f>COUNTIFS(E41:N41,0)</f>
        <v>3</v>
      </c>
      <c r="T41" s="152">
        <f>COUNTIFS(E41:N41,1)</f>
        <v>2</v>
      </c>
      <c r="U41" s="152">
        <f>J11+L18+J21+J23+L29+J34+L36</f>
        <v>0</v>
      </c>
      <c r="V41" s="152">
        <f>L11+J18+L21+L23+J29+L34+J36</f>
        <v>9</v>
      </c>
      <c r="W41" s="152">
        <f>Q11+R18+Q21+Q23+R29+Q34+R36</f>
        <v>9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Scholen!$L$11</f>
        <v>Oostpoort G1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11</v>
      </c>
      <c r="Q42" s="152">
        <f t="shared" si="0"/>
        <v>5</v>
      </c>
      <c r="R42" s="152">
        <f t="shared" ref="R42:R48" si="2">COUNTIFS(E42:N42,3)</f>
        <v>3</v>
      </c>
      <c r="S42" s="152">
        <f t="shared" ref="S42:S48" si="3">COUNTIFS(E42:N42,0)</f>
        <v>0</v>
      </c>
      <c r="T42" s="152">
        <f t="shared" ref="T42:T48" si="4">COUNTIFS(E42:N42,1)</f>
        <v>2</v>
      </c>
      <c r="U42" s="152">
        <f>L11+J15+L19+J25+J28+J33+L37</f>
        <v>12</v>
      </c>
      <c r="V42" s="152">
        <f>J11+L15+J19+L25+L28+L33+J37</f>
        <v>4</v>
      </c>
      <c r="W42" s="152">
        <f>R11+Q15+R19+Q25+Q28+Q33+R37</f>
        <v>9</v>
      </c>
      <c r="X42" s="129">
        <f t="shared" si="1"/>
        <v>2</v>
      </c>
    </row>
    <row r="43" spans="1:24" ht="18.75" customHeight="1" x14ac:dyDescent="0.3">
      <c r="A43" s="154" t="str">
        <f>Scholen!$L$12</f>
        <v>M Delft G2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3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12</v>
      </c>
      <c r="Q43" s="152">
        <f t="shared" si="0"/>
        <v>6</v>
      </c>
      <c r="R43" s="152">
        <f t="shared" si="2"/>
        <v>3</v>
      </c>
      <c r="S43" s="152">
        <f t="shared" si="3"/>
        <v>0</v>
      </c>
      <c r="T43" s="152">
        <f t="shared" si="4"/>
        <v>3</v>
      </c>
      <c r="U43" s="152">
        <f>J12+L15+J20+L23+J27+J32+L35</f>
        <v>12</v>
      </c>
      <c r="V43" s="152">
        <f>L12+J15+L20+J23+L27+L32+J35</f>
        <v>4</v>
      </c>
      <c r="W43" s="152">
        <f>Q12+R15+Q20+R23+Q27+Q32+R35</f>
        <v>7</v>
      </c>
      <c r="X43" s="129">
        <f t="shared" si="1"/>
        <v>1</v>
      </c>
    </row>
    <row r="44" spans="1:24" ht="18.75" customHeight="1" x14ac:dyDescent="0.3">
      <c r="A44" s="161" t="str">
        <f>Scholen!$L$13</f>
        <v>Maan G3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7</v>
      </c>
      <c r="Q44" s="152">
        <f t="shared" si="0"/>
        <v>5</v>
      </c>
      <c r="R44" s="152">
        <f t="shared" si="2"/>
        <v>2</v>
      </c>
      <c r="S44" s="152">
        <f t="shared" si="3"/>
        <v>2</v>
      </c>
      <c r="T44" s="152">
        <f t="shared" si="4"/>
        <v>1</v>
      </c>
      <c r="U44" s="152">
        <f>L12+J16+J19+L24+J29+L31+L38</f>
        <v>6</v>
      </c>
      <c r="V44" s="152">
        <f>J12+L16+L19+J24+L29+J31+J38</f>
        <v>5</v>
      </c>
      <c r="W44" s="152">
        <f>R12+Q16+Q19+R24+Q29+R31+R38</f>
        <v>9</v>
      </c>
      <c r="X44" s="129">
        <f t="shared" si="1"/>
        <v>4</v>
      </c>
    </row>
    <row r="45" spans="1:24" ht="18.75" customHeight="1" x14ac:dyDescent="0.3">
      <c r="A45" s="154" t="str">
        <f>Scholen!$L$14</f>
        <v>Horizon G1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1</v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</v>
      </c>
      <c r="Q45" s="152">
        <f t="shared" si="0"/>
        <v>5</v>
      </c>
      <c r="R45" s="152">
        <f t="shared" si="2"/>
        <v>0</v>
      </c>
      <c r="S45" s="152">
        <f t="shared" si="3"/>
        <v>4</v>
      </c>
      <c r="T45" s="152">
        <f t="shared" si="4"/>
        <v>1</v>
      </c>
      <c r="U45" s="152">
        <f>J13+L16+L20+J26+L30+L34+J37</f>
        <v>0</v>
      </c>
      <c r="V45" s="152">
        <f>L13+J16+J20+L26+J30+J34+L37</f>
        <v>8</v>
      </c>
      <c r="W45" s="152">
        <f>Q13+R16+R20+Q26+R30+R34+Q37</f>
        <v>8</v>
      </c>
      <c r="X45" s="129">
        <f t="shared" si="1"/>
        <v>7</v>
      </c>
    </row>
    <row r="46" spans="1:24" ht="18.75" customHeight="1" x14ac:dyDescent="0.3">
      <c r="A46" s="154" t="str">
        <f>Scholen!$L$15</f>
        <v>Regenboog G1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9</v>
      </c>
      <c r="Q46" s="152">
        <f t="shared" si="0"/>
        <v>5</v>
      </c>
      <c r="R46" s="152">
        <f t="shared" si="2"/>
        <v>2</v>
      </c>
      <c r="S46" s="152">
        <f t="shared" si="3"/>
        <v>0</v>
      </c>
      <c r="T46" s="152">
        <f t="shared" si="4"/>
        <v>3</v>
      </c>
      <c r="U46" s="152">
        <f>L13+J17+J22+J24+L27+L33+J36</f>
        <v>7</v>
      </c>
      <c r="V46" s="152">
        <f>J13+L17+L22+L24+J27+J33+L36</f>
        <v>3</v>
      </c>
      <c r="W46" s="152">
        <f>R13+Q17+Q22+Q24+R27+R33+Q36</f>
        <v>6</v>
      </c>
      <c r="X46" s="129">
        <f t="shared" si="1"/>
        <v>3</v>
      </c>
    </row>
    <row r="47" spans="1:24" ht="18.75" customHeight="1" x14ac:dyDescent="0.3">
      <c r="A47" s="154" t="str">
        <f>IF(Scholen!$L$16&lt;&gt;"",Scholen!$L$16,"")</f>
        <v>Cornelis G2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0</v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5</v>
      </c>
      <c r="Q47" s="152">
        <f t="shared" si="0"/>
        <v>5</v>
      </c>
      <c r="R47" s="152">
        <f t="shared" si="2"/>
        <v>1</v>
      </c>
      <c r="S47" s="152">
        <f t="shared" si="3"/>
        <v>2</v>
      </c>
      <c r="T47" s="152">
        <f t="shared" si="4"/>
        <v>2</v>
      </c>
      <c r="U47" s="152">
        <f>J14+L17+L21+L25+J30+L32+J38</f>
        <v>2</v>
      </c>
      <c r="V47" s="152">
        <f>L14+J17+J21+J25+L30+J32+L38</f>
        <v>6</v>
      </c>
      <c r="W47" s="152">
        <f>Q14+R17+R21+R25+Q30+R32+Q38</f>
        <v>10</v>
      </c>
      <c r="X47" s="129">
        <f t="shared" si="1"/>
        <v>5</v>
      </c>
    </row>
    <row r="48" spans="1:24" ht="18.75" customHeight="1" x14ac:dyDescent="0.3">
      <c r="A48" s="154" t="str">
        <f>IF(Scholen!$L$17&lt;&gt;"",Scholen!$L$17,"")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762CF-399C-4CC3-BBB6-80399C186476}">
  <sheetPr codeName="Blad9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Scholen!$N$8</f>
        <v>Jongens</v>
      </c>
      <c r="F8" s="81"/>
      <c r="G8" s="81"/>
      <c r="H8" s="82" t="s">
        <v>1</v>
      </c>
      <c r="I8" s="83" t="s">
        <v>8</v>
      </c>
      <c r="J8" s="81" t="s">
        <v>11</v>
      </c>
      <c r="K8" s="84">
        <f>Scholen!$O$7</f>
        <v>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J1</v>
      </c>
      <c r="F11" s="107"/>
      <c r="G11" s="104" t="s">
        <v>294</v>
      </c>
      <c r="H11" s="107" t="str">
        <f>$A$42</f>
        <v>Max J1</v>
      </c>
      <c r="I11" s="108"/>
      <c r="J11" s="109">
        <v>0</v>
      </c>
      <c r="K11" s="110" t="s">
        <v>294</v>
      </c>
      <c r="L11" s="111">
        <v>2</v>
      </c>
      <c r="M11" s="112" t="str">
        <f>Scheids!$D$12</f>
        <v>Theo Dessens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J1</v>
      </c>
      <c r="F12" s="121"/>
      <c r="G12" s="118" t="s">
        <v>294</v>
      </c>
      <c r="H12" s="121" t="str">
        <f>$A$44</f>
        <v>BMS J1</v>
      </c>
      <c r="I12" s="122"/>
      <c r="J12" s="123">
        <v>1</v>
      </c>
      <c r="K12" s="124" t="s">
        <v>294</v>
      </c>
      <c r="L12" s="125">
        <v>0</v>
      </c>
      <c r="M12" s="126" t="str">
        <f>Scheids!$D$12</f>
        <v>Theo Dessens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Talent J1</v>
      </c>
      <c r="F13" s="121"/>
      <c r="G13" s="118" t="s">
        <v>294</v>
      </c>
      <c r="H13" s="121" t="str">
        <f>$A$46</f>
        <v>Tuin J1</v>
      </c>
      <c r="I13" s="122"/>
      <c r="J13" s="123">
        <v>0</v>
      </c>
      <c r="K13" s="124" t="s">
        <v>294</v>
      </c>
      <c r="L13" s="125">
        <v>4</v>
      </c>
      <c r="M13" s="126" t="str">
        <f>Scheids!$D$12</f>
        <v>Theo Dessens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Maurits J1</v>
      </c>
      <c r="F14" s="121"/>
      <c r="G14" s="118"/>
      <c r="H14" s="121" t="str">
        <f>$A$48</f>
        <v>Freinet J1</v>
      </c>
      <c r="I14" s="122"/>
      <c r="J14" s="123">
        <v>4</v>
      </c>
      <c r="K14" s="124" t="s">
        <v>294</v>
      </c>
      <c r="L14" s="125">
        <v>0</v>
      </c>
      <c r="M14" s="126" t="str">
        <f>Scheids!$F$12</f>
        <v>Ton Haanappel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J1</v>
      </c>
      <c r="F15" s="121"/>
      <c r="G15" s="118" t="s">
        <v>294</v>
      </c>
      <c r="H15" s="121" t="str">
        <f>$A$43</f>
        <v>Mozaïek J1</v>
      </c>
      <c r="I15" s="122"/>
      <c r="J15" s="123">
        <v>0</v>
      </c>
      <c r="K15" s="124" t="s">
        <v>294</v>
      </c>
      <c r="L15" s="125">
        <v>3</v>
      </c>
      <c r="M15" s="126" t="str">
        <f>Scheids!$F$12</f>
        <v>Ton Haanappel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J1</v>
      </c>
      <c r="F16" s="121"/>
      <c r="G16" s="118" t="s">
        <v>294</v>
      </c>
      <c r="H16" s="121" t="str">
        <f>$A$45</f>
        <v>Talent J1</v>
      </c>
      <c r="I16" s="122"/>
      <c r="J16" s="123">
        <v>1</v>
      </c>
      <c r="K16" s="124" t="s">
        <v>294</v>
      </c>
      <c r="L16" s="125">
        <v>0</v>
      </c>
      <c r="M16" s="126" t="str">
        <f>Scheids!$F$12</f>
        <v>Ton Haanappel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Tuin J1</v>
      </c>
      <c r="F17" s="121"/>
      <c r="G17" s="118" t="s">
        <v>294</v>
      </c>
      <c r="H17" s="121" t="str">
        <f>$A$47</f>
        <v>Maurits J1</v>
      </c>
      <c r="I17" s="122"/>
      <c r="J17" s="123">
        <v>3</v>
      </c>
      <c r="K17" s="124" t="s">
        <v>294</v>
      </c>
      <c r="L17" s="125">
        <v>0</v>
      </c>
      <c r="M17" s="126" t="str">
        <f>Scheids!$D$12</f>
        <v>Theo Dessens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Freinet J1</v>
      </c>
      <c r="F18" s="121"/>
      <c r="G18" s="118"/>
      <c r="H18" s="121" t="str">
        <f>$A$41</f>
        <v>Maria J1</v>
      </c>
      <c r="I18" s="122"/>
      <c r="J18" s="123">
        <v>4</v>
      </c>
      <c r="K18" s="124" t="s">
        <v>294</v>
      </c>
      <c r="L18" s="125">
        <v>0</v>
      </c>
      <c r="M18" s="126" t="str">
        <f>Scheids!$D$12</f>
        <v>Theo Dessens</v>
      </c>
      <c r="N18" s="127"/>
      <c r="O18" s="128"/>
      <c r="Q18" s="129">
        <v>1</v>
      </c>
      <c r="R18" s="129">
        <v>1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J1</v>
      </c>
      <c r="F19" s="121"/>
      <c r="G19" s="118" t="s">
        <v>294</v>
      </c>
      <c r="H19" s="121" t="str">
        <f>$A$42</f>
        <v>Max J1</v>
      </c>
      <c r="I19" s="122"/>
      <c r="J19" s="123">
        <v>0</v>
      </c>
      <c r="K19" s="124" t="s">
        <v>294</v>
      </c>
      <c r="L19" s="125">
        <v>1</v>
      </c>
      <c r="M19" s="126" t="str">
        <f>Scheids!$D$12</f>
        <v>Theo Dessens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J1</v>
      </c>
      <c r="F20" s="121"/>
      <c r="G20" s="118" t="s">
        <v>294</v>
      </c>
      <c r="H20" s="121" t="str">
        <f>$A$45</f>
        <v>Talent J1</v>
      </c>
      <c r="I20" s="122"/>
      <c r="J20" s="123">
        <v>2</v>
      </c>
      <c r="K20" s="124" t="s">
        <v>294</v>
      </c>
      <c r="L20" s="125">
        <v>0</v>
      </c>
      <c r="M20" s="126" t="str">
        <f>Scheids!$F$12</f>
        <v>Ton Haanappel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J1</v>
      </c>
      <c r="F21" s="121"/>
      <c r="G21" s="118" t="s">
        <v>294</v>
      </c>
      <c r="H21" s="121" t="str">
        <f>$A$47</f>
        <v>Maurits J1</v>
      </c>
      <c r="I21" s="122"/>
      <c r="J21" s="123">
        <v>0</v>
      </c>
      <c r="K21" s="124" t="s">
        <v>294</v>
      </c>
      <c r="L21" s="125">
        <v>0</v>
      </c>
      <c r="M21" s="126" t="str">
        <f>Scheids!$F$12</f>
        <v>Ton Haanappel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Tuin J1</v>
      </c>
      <c r="F22" s="121"/>
      <c r="G22" s="118"/>
      <c r="H22" s="121" t="str">
        <f>$A$48</f>
        <v>Freinet J1</v>
      </c>
      <c r="I22" s="122"/>
      <c r="J22" s="123">
        <v>2</v>
      </c>
      <c r="K22" s="124" t="s">
        <v>294</v>
      </c>
      <c r="L22" s="125">
        <v>0</v>
      </c>
      <c r="M22" s="126" t="str">
        <f>Scheids!$F$12</f>
        <v>Ton Haanappel</v>
      </c>
      <c r="N22" s="127"/>
      <c r="O22" s="128"/>
      <c r="Q22" s="129">
        <v>2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J1</v>
      </c>
      <c r="F23" s="121"/>
      <c r="G23" s="118" t="s">
        <v>294</v>
      </c>
      <c r="H23" s="121" t="str">
        <f>$A$43</f>
        <v>Mozaïek J1</v>
      </c>
      <c r="I23" s="122"/>
      <c r="J23" s="123">
        <v>0</v>
      </c>
      <c r="K23" s="124" t="s">
        <v>294</v>
      </c>
      <c r="L23" s="125">
        <v>1</v>
      </c>
      <c r="M23" s="126" t="str">
        <f>Scheids!$D$12</f>
        <v>Theo Dessens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Tuin J1</v>
      </c>
      <c r="F24" s="121"/>
      <c r="G24" s="118" t="s">
        <v>294</v>
      </c>
      <c r="H24" s="121" t="str">
        <f>$A$44</f>
        <v>BMS J1</v>
      </c>
      <c r="I24" s="122"/>
      <c r="J24" s="123">
        <v>2</v>
      </c>
      <c r="K24" s="124" t="s">
        <v>294</v>
      </c>
      <c r="L24" s="125">
        <v>0</v>
      </c>
      <c r="M24" s="126" t="str">
        <f>Scheids!$D$12</f>
        <v>Theo Dessens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J1</v>
      </c>
      <c r="F25" s="121"/>
      <c r="G25" s="118" t="s">
        <v>294</v>
      </c>
      <c r="H25" s="121" t="str">
        <f>$A$47</f>
        <v>Maurits J1</v>
      </c>
      <c r="I25" s="122"/>
      <c r="J25" s="123">
        <v>0</v>
      </c>
      <c r="K25" s="124" t="s">
        <v>294</v>
      </c>
      <c r="L25" s="125">
        <v>1</v>
      </c>
      <c r="M25" s="126" t="str">
        <f>Scheids!$D$12</f>
        <v>Theo Dessens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Talent J1</v>
      </c>
      <c r="F26" s="121"/>
      <c r="G26" s="118"/>
      <c r="H26" s="121" t="str">
        <f>$A$48</f>
        <v>Freinet J1</v>
      </c>
      <c r="I26" s="122"/>
      <c r="J26" s="123">
        <v>1</v>
      </c>
      <c r="K26" s="124" t="s">
        <v>294</v>
      </c>
      <c r="L26" s="125">
        <v>4</v>
      </c>
      <c r="M26" s="126" t="str">
        <f>Scheids!$F$12</f>
        <v>Ton Haanappel</v>
      </c>
      <c r="N26" s="127"/>
      <c r="O26" s="128"/>
      <c r="Q26" s="129">
        <v>2</v>
      </c>
      <c r="R26" s="129">
        <v>2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J1</v>
      </c>
      <c r="F27" s="121"/>
      <c r="G27" s="118" t="s">
        <v>294</v>
      </c>
      <c r="H27" s="121" t="str">
        <f>$A$46</f>
        <v>Tuin J1</v>
      </c>
      <c r="I27" s="122"/>
      <c r="J27" s="123">
        <v>2</v>
      </c>
      <c r="K27" s="124" t="s">
        <v>294</v>
      </c>
      <c r="L27" s="125">
        <v>4</v>
      </c>
      <c r="M27" s="126" t="str">
        <f>Scheids!$F$12</f>
        <v>Ton Haanappel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Max J1</v>
      </c>
      <c r="F28" s="121"/>
      <c r="G28" s="118"/>
      <c r="H28" s="121" t="str">
        <f>$A$48</f>
        <v>Freinet J1</v>
      </c>
      <c r="I28" s="122"/>
      <c r="J28" s="123">
        <v>0</v>
      </c>
      <c r="K28" s="124" t="s">
        <v>294</v>
      </c>
      <c r="L28" s="125">
        <v>2</v>
      </c>
      <c r="M28" s="126" t="str">
        <f>Scheids!$F$12</f>
        <v>Ton Haanappel</v>
      </c>
      <c r="N28" s="127"/>
      <c r="O28" s="128"/>
      <c r="Q28" s="129">
        <v>2</v>
      </c>
      <c r="R28" s="129">
        <v>2</v>
      </c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J1</v>
      </c>
      <c r="F29" s="121"/>
      <c r="G29" s="118" t="s">
        <v>294</v>
      </c>
      <c r="H29" s="121" t="str">
        <f>$A$41</f>
        <v>Maria J1</v>
      </c>
      <c r="I29" s="122"/>
      <c r="J29" s="123">
        <v>0</v>
      </c>
      <c r="K29" s="124" t="s">
        <v>294</v>
      </c>
      <c r="L29" s="125">
        <v>0</v>
      </c>
      <c r="M29" s="126" t="str">
        <f>Scheids!$D$12</f>
        <v>Theo Dessens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Maurits J1</v>
      </c>
      <c r="F30" s="121"/>
      <c r="G30" s="118" t="s">
        <v>294</v>
      </c>
      <c r="H30" s="121" t="str">
        <f>$A$45</f>
        <v>Talent J1</v>
      </c>
      <c r="I30" s="122"/>
      <c r="J30" s="123">
        <v>5</v>
      </c>
      <c r="K30" s="124" t="s">
        <v>294</v>
      </c>
      <c r="L30" s="125">
        <v>1</v>
      </c>
      <c r="M30" s="126" t="str">
        <f>Scheids!$D$12</f>
        <v>Theo Dessens</v>
      </c>
      <c r="N30" s="127"/>
      <c r="O30" s="128"/>
      <c r="Q30" s="129">
        <v>1</v>
      </c>
      <c r="R30" s="129">
        <v>1</v>
      </c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Freinet J1</v>
      </c>
      <c r="F31" s="121"/>
      <c r="G31" s="118"/>
      <c r="H31" s="121" t="str">
        <f>$A$44</f>
        <v>BMS J1</v>
      </c>
      <c r="I31" s="122"/>
      <c r="J31" s="123">
        <v>3</v>
      </c>
      <c r="K31" s="124" t="s">
        <v>294</v>
      </c>
      <c r="L31" s="125">
        <v>0</v>
      </c>
      <c r="M31" s="126" t="str">
        <f>Scheids!$D$12</f>
        <v>Theo Dessens</v>
      </c>
      <c r="N31" s="127"/>
      <c r="O31" s="128"/>
      <c r="Q31" s="129">
        <v>1</v>
      </c>
      <c r="R31" s="129">
        <v>1</v>
      </c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J1</v>
      </c>
      <c r="F32" s="121"/>
      <c r="G32" s="118" t="s">
        <v>294</v>
      </c>
      <c r="H32" s="121" t="str">
        <f>$A$47</f>
        <v>Maurits J1</v>
      </c>
      <c r="I32" s="122"/>
      <c r="J32" s="123">
        <v>0</v>
      </c>
      <c r="K32" s="124" t="s">
        <v>294</v>
      </c>
      <c r="L32" s="125">
        <v>1</v>
      </c>
      <c r="M32" s="126" t="str">
        <f>Scheids!$F$12</f>
        <v>Ton Haanappel</v>
      </c>
      <c r="N32" s="127"/>
      <c r="O32" s="128"/>
      <c r="Q32" s="129">
        <v>2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J1</v>
      </c>
      <c r="F33" s="121"/>
      <c r="G33" s="118" t="s">
        <v>294</v>
      </c>
      <c r="H33" s="121" t="str">
        <f>$A$46</f>
        <v>Tuin J1</v>
      </c>
      <c r="I33" s="122"/>
      <c r="J33" s="123">
        <v>0</v>
      </c>
      <c r="K33" s="124" t="s">
        <v>294</v>
      </c>
      <c r="L33" s="125">
        <v>1</v>
      </c>
      <c r="M33" s="126" t="str">
        <f>Scheids!$F$12</f>
        <v>Ton Haanappel</v>
      </c>
      <c r="N33" s="127"/>
      <c r="O33" s="128"/>
      <c r="Q33" s="129">
        <v>2</v>
      </c>
      <c r="R33" s="129">
        <v>2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J1</v>
      </c>
      <c r="F34" s="121"/>
      <c r="G34" s="118" t="s">
        <v>294</v>
      </c>
      <c r="H34" s="121" t="str">
        <f>$A$45</f>
        <v>Talent J1</v>
      </c>
      <c r="I34" s="122"/>
      <c r="J34" s="123">
        <v>1</v>
      </c>
      <c r="K34" s="124" t="s">
        <v>294</v>
      </c>
      <c r="L34" s="125">
        <v>2</v>
      </c>
      <c r="M34" s="126" t="str">
        <f>Scheids!$F$12</f>
        <v>Ton Haanappel</v>
      </c>
      <c r="N34" s="127"/>
      <c r="O34" s="128"/>
      <c r="Q34" s="129">
        <v>2</v>
      </c>
      <c r="R34" s="129">
        <v>2</v>
      </c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Freinet J1</v>
      </c>
      <c r="F35" s="121"/>
      <c r="G35" s="118"/>
      <c r="H35" s="121" t="str">
        <f>$A$43</f>
        <v>Mozaïek J1</v>
      </c>
      <c r="I35" s="122"/>
      <c r="J35" s="123"/>
      <c r="K35" s="124" t="s">
        <v>294</v>
      </c>
      <c r="L35" s="125"/>
      <c r="M35" s="126" t="str">
        <f>Scheids!$D$12</f>
        <v>Theo Dessens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Tuin J1</v>
      </c>
      <c r="F36" s="121"/>
      <c r="G36" s="118" t="s">
        <v>294</v>
      </c>
      <c r="H36" s="121" t="str">
        <f>$A$41</f>
        <v>Maria J1</v>
      </c>
      <c r="I36" s="122"/>
      <c r="J36" s="123"/>
      <c r="K36" s="124" t="s">
        <v>294</v>
      </c>
      <c r="L36" s="125"/>
      <c r="M36" s="126" t="str">
        <f>Scheids!$D$12</f>
        <v>Theo Dessens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Talent J1</v>
      </c>
      <c r="F37" s="121"/>
      <c r="G37" s="118" t="s">
        <v>294</v>
      </c>
      <c r="H37" s="121" t="str">
        <f>$A$42</f>
        <v>Max J1</v>
      </c>
      <c r="I37" s="122"/>
      <c r="J37" s="123"/>
      <c r="K37" s="124" t="s">
        <v>294</v>
      </c>
      <c r="L37" s="125"/>
      <c r="M37" s="126" t="str">
        <f>Scheids!$F$12</f>
        <v>Ton Haanappel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Maurits J1</v>
      </c>
      <c r="F38" s="136"/>
      <c r="G38" s="133" t="s">
        <v>294</v>
      </c>
      <c r="H38" s="136" t="str">
        <f>$A$44</f>
        <v>BMS J1</v>
      </c>
      <c r="I38" s="137"/>
      <c r="J38" s="138"/>
      <c r="K38" s="139" t="s">
        <v>294</v>
      </c>
      <c r="L38" s="140"/>
      <c r="M38" s="141" t="str">
        <f>Scheids!$F$12</f>
        <v>Ton Haanappel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Scholen!$N$10</f>
        <v>Maria J1</v>
      </c>
      <c r="B41" s="155"/>
      <c r="C41" s="155"/>
      <c r="D41" s="156"/>
      <c r="E41" s="157">
        <f>IF(AND($J$11&lt;&gt;"", $L$11&lt;&gt;""),IF($J$11&gt;$L$11,3,IF($J$11=$L$11,1,0)),"")</f>
        <v>0</v>
      </c>
      <c r="F41" s="170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0</v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2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4</v>
      </c>
      <c r="T41" s="152">
        <f>COUNTIFS(E41:N41,1)</f>
        <v>2</v>
      </c>
      <c r="U41" s="152">
        <f>J11+L18+J21+J23+L29+J34+L36</f>
        <v>1</v>
      </c>
      <c r="V41" s="152">
        <f>L11+J18+L21+L23+J29+L34+J36</f>
        <v>9</v>
      </c>
      <c r="W41" s="152">
        <f>Q11+R18+Q21+Q23+R29+Q34+R36</f>
        <v>8</v>
      </c>
      <c r="X41" s="129">
        <f t="shared" ref="X41:X48" si="1">IF(Y41="",IF(O41&lt;&gt;"",_xlfn.RANK.EQ(O41,$O$41:$O$48),""),Y41)</f>
        <v>8</v>
      </c>
    </row>
    <row r="42" spans="1:24" ht="18.75" customHeight="1" x14ac:dyDescent="0.3">
      <c r="A42" s="159" t="str">
        <f>Scholen!$N$11</f>
        <v>Max J1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2">COUNTIFS(E42:N42,3)</f>
        <v>2</v>
      </c>
      <c r="S42" s="152">
        <f t="shared" ref="S42:S48" si="3">COUNTIFS(E42:N42,0)</f>
        <v>4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7</v>
      </c>
      <c r="W42" s="152">
        <f>R11+Q15+R19+Q25+Q28+Q33+R37</f>
        <v>9</v>
      </c>
      <c r="X42" s="129">
        <f t="shared" si="1"/>
        <v>5</v>
      </c>
    </row>
    <row r="43" spans="1:24" ht="18.75" customHeight="1" x14ac:dyDescent="0.3">
      <c r="A43" s="154" t="str">
        <f>Scholen!$N$12</f>
        <v>Mozaïek J1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12</v>
      </c>
      <c r="Q43" s="152">
        <f t="shared" si="0"/>
        <v>6</v>
      </c>
      <c r="R43" s="152">
        <f t="shared" si="2"/>
        <v>4</v>
      </c>
      <c r="S43" s="152">
        <f t="shared" si="3"/>
        <v>2</v>
      </c>
      <c r="T43" s="152">
        <f t="shared" si="4"/>
        <v>0</v>
      </c>
      <c r="U43" s="152">
        <f>J12+L15+J20+L23+J27+J32+L35</f>
        <v>9</v>
      </c>
      <c r="V43" s="152">
        <f>L12+J15+L20+J23+L27+L32+J35</f>
        <v>5</v>
      </c>
      <c r="W43" s="152">
        <f>Q12+R15+Q20+R23+Q27+Q32+R35</f>
        <v>10</v>
      </c>
      <c r="X43" s="129">
        <f t="shared" si="1"/>
        <v>3</v>
      </c>
    </row>
    <row r="44" spans="1:24" ht="18.75" customHeight="1" x14ac:dyDescent="0.3">
      <c r="A44" s="161" t="str">
        <f>Scholen!$N$13</f>
        <v>BMS J1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1</v>
      </c>
      <c r="L44" s="171"/>
      <c r="M44" s="172">
        <f>IF(AND($J$31&lt;&gt;"",$L$31&lt;&gt;""),IF($J$31&lt;$L$31,3,IF($J$31=$L$31,1,0)),"")</f>
        <v>0</v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4</v>
      </c>
      <c r="Q44" s="152">
        <f t="shared" si="0"/>
        <v>6</v>
      </c>
      <c r="R44" s="152">
        <f t="shared" si="2"/>
        <v>1</v>
      </c>
      <c r="S44" s="152">
        <f t="shared" si="3"/>
        <v>4</v>
      </c>
      <c r="T44" s="152">
        <f t="shared" si="4"/>
        <v>1</v>
      </c>
      <c r="U44" s="152">
        <f>L12+J16+J19+L24+J29+L31+L38</f>
        <v>1</v>
      </c>
      <c r="V44" s="152">
        <f>J12+L16+L19+J24+L29+J31+J38</f>
        <v>7</v>
      </c>
      <c r="W44" s="152">
        <f>R12+Q16+Q19+R24+Q29+R31+R38</f>
        <v>7</v>
      </c>
      <c r="X44" s="129">
        <f t="shared" si="1"/>
        <v>6</v>
      </c>
    </row>
    <row r="45" spans="1:24" ht="18.75" customHeight="1" x14ac:dyDescent="0.3">
      <c r="A45" s="154" t="str">
        <f>Scholen!$N$14</f>
        <v>Talent J1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7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3</v>
      </c>
      <c r="Q45" s="152">
        <f t="shared" si="0"/>
        <v>6</v>
      </c>
      <c r="R45" s="152">
        <f t="shared" si="2"/>
        <v>1</v>
      </c>
      <c r="S45" s="152">
        <f t="shared" si="3"/>
        <v>5</v>
      </c>
      <c r="T45" s="152">
        <f t="shared" si="4"/>
        <v>0</v>
      </c>
      <c r="U45" s="152">
        <f>J13+L16+L20+J26+L30+L34+J37</f>
        <v>4</v>
      </c>
      <c r="V45" s="152">
        <f>L13+J16+J20+L26+J30+J34+L37</f>
        <v>17</v>
      </c>
      <c r="W45" s="152">
        <f>Q13+R16+R20+Q26+R30+R34+Q37</f>
        <v>10</v>
      </c>
      <c r="X45" s="129">
        <f t="shared" si="1"/>
        <v>7</v>
      </c>
    </row>
    <row r="46" spans="1:24" ht="18.75" customHeight="1" x14ac:dyDescent="0.3">
      <c r="A46" s="154" t="str">
        <f>Scholen!$N$15</f>
        <v>Tuin J1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71"/>
      <c r="H46" s="172">
        <f>IF(AND($J$22&lt;&gt;"",$L$22&lt;&gt;""),IF($J$22&gt;$L$22,3,IF($J$22=$L$22,1,0)),"")</f>
        <v>3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18</v>
      </c>
      <c r="Q46" s="152">
        <f t="shared" si="0"/>
        <v>6</v>
      </c>
      <c r="R46" s="152">
        <f t="shared" si="2"/>
        <v>6</v>
      </c>
      <c r="S46" s="152">
        <f t="shared" si="3"/>
        <v>0</v>
      </c>
      <c r="T46" s="152">
        <f t="shared" si="4"/>
        <v>0</v>
      </c>
      <c r="U46" s="152">
        <f>L13+J17+J22+J24+L27+L33+J36</f>
        <v>16</v>
      </c>
      <c r="V46" s="152">
        <f>J13+L17+L22+L24+J27+J33+L36</f>
        <v>2</v>
      </c>
      <c r="W46" s="152">
        <f>R13+Q17+Q22+Q24+R27+R33+Q36</f>
        <v>9</v>
      </c>
      <c r="X46" s="129">
        <f t="shared" si="1"/>
        <v>1</v>
      </c>
    </row>
    <row r="47" spans="1:24" ht="18.75" customHeight="1" x14ac:dyDescent="0.3">
      <c r="A47" s="154" t="str">
        <f>IF(Scholen!$N$16&lt;&gt;"",Scholen!$N$16,"")</f>
        <v>Maurits J1</v>
      </c>
      <c r="B47" s="155"/>
      <c r="C47" s="155"/>
      <c r="D47" s="156"/>
      <c r="E47" s="170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13</v>
      </c>
      <c r="Q47" s="152">
        <f t="shared" si="0"/>
        <v>6</v>
      </c>
      <c r="R47" s="152">
        <f t="shared" si="2"/>
        <v>4</v>
      </c>
      <c r="S47" s="152">
        <f t="shared" si="3"/>
        <v>1</v>
      </c>
      <c r="T47" s="152">
        <f t="shared" si="4"/>
        <v>1</v>
      </c>
      <c r="U47" s="152">
        <f>J14+L17+L21+L25+J30+L32+J38</f>
        <v>11</v>
      </c>
      <c r="V47" s="152">
        <f>L14+J17+J21+J25+L30+J32+L38</f>
        <v>4</v>
      </c>
      <c r="W47" s="152">
        <f>Q14+R17+R21+R25+Q30+R32+Q38</f>
        <v>9</v>
      </c>
      <c r="X47" s="129">
        <f t="shared" si="1"/>
        <v>2</v>
      </c>
    </row>
    <row r="48" spans="1:24" ht="18.75" customHeight="1" x14ac:dyDescent="0.3">
      <c r="A48" s="154" t="str">
        <f>IF(Scholen!$N$17&lt;&gt;"",Scholen!$N$17,"")</f>
        <v>Freinet J1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0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3</v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12</v>
      </c>
      <c r="Q48" s="152">
        <f t="shared" si="0"/>
        <v>6</v>
      </c>
      <c r="R48" s="152">
        <f t="shared" si="2"/>
        <v>4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7</v>
      </c>
      <c r="W48" s="152">
        <f>+R14+Q18+R22+R26+R28+Q31+Q35</f>
        <v>10</v>
      </c>
      <c r="X48" s="129">
        <f t="shared" si="1"/>
        <v>3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2AB9-0C3E-4EFD-85FC-C6AD1992D258}">
  <sheetPr codeName="Blad10"/>
  <dimension ref="A1:X48"/>
  <sheetViews>
    <sheetView topLeftCell="A24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Scholen!$P$8</f>
        <v>Jongens</v>
      </c>
      <c r="F8" s="81"/>
      <c r="G8" s="81"/>
      <c r="H8" s="82" t="s">
        <v>1</v>
      </c>
      <c r="I8" s="83" t="s">
        <v>9</v>
      </c>
      <c r="J8" s="81" t="s">
        <v>11</v>
      </c>
      <c r="K8" s="84">
        <f>Scholen!$Q$7</f>
        <v>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Rembrandt J1</v>
      </c>
      <c r="F11" s="107"/>
      <c r="G11" s="104" t="s">
        <v>294</v>
      </c>
      <c r="H11" s="107" t="str">
        <f>$A$42</f>
        <v>Maria J2</v>
      </c>
      <c r="I11" s="108"/>
      <c r="J11" s="109">
        <v>1</v>
      </c>
      <c r="K11" s="110" t="s">
        <v>294</v>
      </c>
      <c r="L11" s="111">
        <v>0</v>
      </c>
      <c r="M11" s="112" t="str">
        <f>Scheids!$D$13</f>
        <v>Ruud Bakas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J2</v>
      </c>
      <c r="F12" s="121"/>
      <c r="G12" s="118" t="s">
        <v>294</v>
      </c>
      <c r="H12" s="121" t="str">
        <f>$A$44</f>
        <v>DSV J1</v>
      </c>
      <c r="I12" s="122"/>
      <c r="J12" s="123">
        <v>3</v>
      </c>
      <c r="K12" s="124" t="s">
        <v>294</v>
      </c>
      <c r="L12" s="125">
        <v>0</v>
      </c>
      <c r="M12" s="126" t="str">
        <f>Scheids!$D$13</f>
        <v>Ruud Bakas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Gabriël J1</v>
      </c>
      <c r="F13" s="121"/>
      <c r="G13" s="118" t="s">
        <v>294</v>
      </c>
      <c r="H13" s="121" t="str">
        <f>$A$46</f>
        <v>Vermeer J1</v>
      </c>
      <c r="I13" s="122"/>
      <c r="J13" s="123">
        <v>3</v>
      </c>
      <c r="K13" s="124" t="s">
        <v>294</v>
      </c>
      <c r="L13" s="125">
        <v>0</v>
      </c>
      <c r="M13" s="126" t="str">
        <f>Scheids!$D$13</f>
        <v>Ruud Bakas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Springwijs J1</v>
      </c>
      <c r="F14" s="121"/>
      <c r="G14" s="118"/>
      <c r="H14" s="121" t="str">
        <f>$A$48</f>
        <v>Widar J1</v>
      </c>
      <c r="I14" s="122"/>
      <c r="J14" s="123">
        <v>1</v>
      </c>
      <c r="K14" s="124" t="s">
        <v>294</v>
      </c>
      <c r="L14" s="125">
        <v>3</v>
      </c>
      <c r="M14" s="126" t="str">
        <f>Scheids!$F$13</f>
        <v>Gennaro vd Kan</v>
      </c>
      <c r="N14" s="127"/>
      <c r="O14" s="128"/>
      <c r="Q14" s="129">
        <v>1</v>
      </c>
      <c r="R14" s="129">
        <v>1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J2</v>
      </c>
      <c r="F15" s="121"/>
      <c r="G15" s="118" t="s">
        <v>294</v>
      </c>
      <c r="H15" s="121" t="str">
        <f>$A$43</f>
        <v>Max J2</v>
      </c>
      <c r="I15" s="122"/>
      <c r="J15" s="123">
        <v>0</v>
      </c>
      <c r="K15" s="124" t="s">
        <v>294</v>
      </c>
      <c r="L15" s="125">
        <v>4</v>
      </c>
      <c r="M15" s="126" t="str">
        <f>Scheids!$F$13</f>
        <v>Gennaro vd Kan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DSV J1</v>
      </c>
      <c r="F16" s="121"/>
      <c r="G16" s="118" t="s">
        <v>294</v>
      </c>
      <c r="H16" s="121" t="str">
        <f>$A$45</f>
        <v>Gabriël J1</v>
      </c>
      <c r="I16" s="122"/>
      <c r="J16" s="123">
        <v>0</v>
      </c>
      <c r="K16" s="124" t="s">
        <v>294</v>
      </c>
      <c r="L16" s="125">
        <v>0</v>
      </c>
      <c r="M16" s="126" t="str">
        <f>Scheids!$F$13</f>
        <v>Gennaro vd Kan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Vermeer J1</v>
      </c>
      <c r="F17" s="121"/>
      <c r="G17" s="118" t="s">
        <v>294</v>
      </c>
      <c r="H17" s="121" t="str">
        <f>$A$47</f>
        <v>Springwijs J1</v>
      </c>
      <c r="I17" s="122"/>
      <c r="J17" s="123">
        <v>0</v>
      </c>
      <c r="K17" s="124" t="s">
        <v>294</v>
      </c>
      <c r="L17" s="125">
        <v>0</v>
      </c>
      <c r="M17" s="126" t="str">
        <f>Scheids!$D$13</f>
        <v>Ruud Bakas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Widar J1</v>
      </c>
      <c r="F18" s="121"/>
      <c r="G18" s="118"/>
      <c r="H18" s="121" t="str">
        <f>$A$41</f>
        <v>Rembrandt J1</v>
      </c>
      <c r="I18" s="122"/>
      <c r="J18" s="123">
        <v>3</v>
      </c>
      <c r="K18" s="124" t="s">
        <v>294</v>
      </c>
      <c r="L18" s="125">
        <v>0</v>
      </c>
      <c r="M18" s="126" t="str">
        <f>Scheids!$D$13</f>
        <v>Ruud Bakas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DSV J1</v>
      </c>
      <c r="F19" s="121"/>
      <c r="G19" s="118" t="s">
        <v>294</v>
      </c>
      <c r="H19" s="121" t="str">
        <f>$A$42</f>
        <v>Maria J2</v>
      </c>
      <c r="I19" s="122"/>
      <c r="J19" s="123">
        <v>0</v>
      </c>
      <c r="K19" s="124" t="s">
        <v>294</v>
      </c>
      <c r="L19" s="125">
        <v>1</v>
      </c>
      <c r="M19" s="126" t="str">
        <f>Scheids!$D$13</f>
        <v>Ruud Bakas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J2</v>
      </c>
      <c r="F20" s="121"/>
      <c r="G20" s="118" t="s">
        <v>294</v>
      </c>
      <c r="H20" s="121" t="str">
        <f>$A$45</f>
        <v>Gabriël J1</v>
      </c>
      <c r="I20" s="122"/>
      <c r="J20" s="123">
        <v>0</v>
      </c>
      <c r="K20" s="124" t="s">
        <v>294</v>
      </c>
      <c r="L20" s="125">
        <v>2</v>
      </c>
      <c r="M20" s="126" t="str">
        <f>Scheids!$F$13</f>
        <v>Gennaro vd Kan</v>
      </c>
      <c r="N20" s="127"/>
      <c r="O20" s="128"/>
      <c r="Q20" s="129">
        <v>1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Rembrandt J1</v>
      </c>
      <c r="F21" s="121"/>
      <c r="G21" s="118" t="s">
        <v>294</v>
      </c>
      <c r="H21" s="121" t="str">
        <f>$A$47</f>
        <v>Springwijs J1</v>
      </c>
      <c r="I21" s="122"/>
      <c r="J21" s="123">
        <v>2</v>
      </c>
      <c r="K21" s="124" t="s">
        <v>294</v>
      </c>
      <c r="L21" s="125">
        <v>0</v>
      </c>
      <c r="M21" s="126" t="str">
        <f>Scheids!$F$13</f>
        <v>Gennaro vd Kan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Vermeer J1</v>
      </c>
      <c r="F22" s="121"/>
      <c r="G22" s="118"/>
      <c r="H22" s="121" t="str">
        <f>$A$48</f>
        <v>Widar J1</v>
      </c>
      <c r="I22" s="122"/>
      <c r="J22" s="123">
        <v>1</v>
      </c>
      <c r="K22" s="124" t="s">
        <v>294</v>
      </c>
      <c r="L22" s="125">
        <v>2</v>
      </c>
      <c r="M22" s="126" t="str">
        <f>Scheids!$F$13</f>
        <v>Gennaro vd Kan</v>
      </c>
      <c r="N22" s="127"/>
      <c r="O22" s="128"/>
      <c r="Q22" s="129">
        <v>1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Rembrandt J1</v>
      </c>
      <c r="F23" s="121"/>
      <c r="G23" s="118" t="s">
        <v>294</v>
      </c>
      <c r="H23" s="121" t="str">
        <f>$A$43</f>
        <v>Max J2</v>
      </c>
      <c r="I23" s="122"/>
      <c r="J23" s="123">
        <v>0</v>
      </c>
      <c r="K23" s="124" t="s">
        <v>294</v>
      </c>
      <c r="L23" s="125">
        <v>6</v>
      </c>
      <c r="M23" s="126" t="str">
        <f>Scheids!$D$13</f>
        <v>Ruud Bakas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Vermeer J1</v>
      </c>
      <c r="F24" s="121"/>
      <c r="G24" s="118" t="s">
        <v>294</v>
      </c>
      <c r="H24" s="121" t="str">
        <f>$A$44</f>
        <v>DSV J1</v>
      </c>
      <c r="I24" s="122"/>
      <c r="J24" s="123">
        <v>3</v>
      </c>
      <c r="K24" s="124" t="s">
        <v>294</v>
      </c>
      <c r="L24" s="125">
        <v>0</v>
      </c>
      <c r="M24" s="126" t="str">
        <f>Scheids!$D$13</f>
        <v>Ruud Bakas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J2</v>
      </c>
      <c r="F25" s="121"/>
      <c r="G25" s="118" t="s">
        <v>294</v>
      </c>
      <c r="H25" s="121" t="str">
        <f>$A$47</f>
        <v>Springwijs J1</v>
      </c>
      <c r="I25" s="122"/>
      <c r="J25" s="123">
        <v>0</v>
      </c>
      <c r="K25" s="124" t="s">
        <v>294</v>
      </c>
      <c r="L25" s="125">
        <v>2</v>
      </c>
      <c r="M25" s="126" t="str">
        <f>Scheids!$D$13</f>
        <v>Ruud Bakas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Gabriël J1</v>
      </c>
      <c r="F26" s="121"/>
      <c r="G26" s="118"/>
      <c r="H26" s="121" t="str">
        <f>$A$48</f>
        <v>Widar J1</v>
      </c>
      <c r="I26" s="122"/>
      <c r="J26" s="123">
        <v>0</v>
      </c>
      <c r="K26" s="124" t="s">
        <v>294</v>
      </c>
      <c r="L26" s="125">
        <v>1</v>
      </c>
      <c r="M26" s="126" t="str">
        <f>Scheids!$F$13</f>
        <v>Gennaro vd Kan</v>
      </c>
      <c r="N26" s="127"/>
      <c r="O26" s="128"/>
      <c r="Q26" s="129">
        <v>2</v>
      </c>
      <c r="R26" s="129">
        <v>2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J2</v>
      </c>
      <c r="F27" s="121"/>
      <c r="G27" s="118" t="s">
        <v>294</v>
      </c>
      <c r="H27" s="121" t="str">
        <f>$A$46</f>
        <v>Vermeer J1</v>
      </c>
      <c r="I27" s="122"/>
      <c r="J27" s="123">
        <v>3</v>
      </c>
      <c r="K27" s="124" t="s">
        <v>294</v>
      </c>
      <c r="L27" s="125">
        <v>0</v>
      </c>
      <c r="M27" s="126" t="str">
        <f>Scheids!$F$13</f>
        <v>Gennaro vd Kan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Maria J2</v>
      </c>
      <c r="F28" s="121"/>
      <c r="G28" s="118"/>
      <c r="H28" s="121" t="str">
        <f>$A$48</f>
        <v>Widar J1</v>
      </c>
      <c r="I28" s="122"/>
      <c r="J28" s="123">
        <v>0</v>
      </c>
      <c r="K28" s="124" t="s">
        <v>294</v>
      </c>
      <c r="L28" s="125">
        <v>3</v>
      </c>
      <c r="M28" s="126" t="str">
        <f>Scheids!$F$13</f>
        <v>Gennaro vd Kan</v>
      </c>
      <c r="N28" s="127"/>
      <c r="O28" s="128"/>
      <c r="Q28" s="129">
        <v>2</v>
      </c>
      <c r="R28" s="129">
        <v>2</v>
      </c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DSV J1</v>
      </c>
      <c r="F29" s="121"/>
      <c r="G29" s="118" t="s">
        <v>294</v>
      </c>
      <c r="H29" s="121" t="str">
        <f>$A$41</f>
        <v>Rembrandt J1</v>
      </c>
      <c r="I29" s="122"/>
      <c r="J29" s="123">
        <v>1</v>
      </c>
      <c r="K29" s="124" t="s">
        <v>294</v>
      </c>
      <c r="L29" s="125">
        <v>1</v>
      </c>
      <c r="M29" s="126" t="str">
        <f>Scheids!$D$13</f>
        <v>Ruud Bakas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Springwijs J1</v>
      </c>
      <c r="F30" s="121"/>
      <c r="G30" s="118" t="s">
        <v>294</v>
      </c>
      <c r="H30" s="121" t="str">
        <f>$A$45</f>
        <v>Gabriël J1</v>
      </c>
      <c r="I30" s="122"/>
      <c r="J30" s="123">
        <v>1</v>
      </c>
      <c r="K30" s="124" t="s">
        <v>294</v>
      </c>
      <c r="L30" s="125">
        <v>4</v>
      </c>
      <c r="M30" s="126" t="str">
        <f>Scheids!$D$13</f>
        <v>Ruud Bakas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Widar J1</v>
      </c>
      <c r="F31" s="121"/>
      <c r="G31" s="118"/>
      <c r="H31" s="121" t="str">
        <f>$A$44</f>
        <v>DSV J1</v>
      </c>
      <c r="I31" s="122"/>
      <c r="J31" s="123">
        <v>3</v>
      </c>
      <c r="K31" s="124" t="s">
        <v>294</v>
      </c>
      <c r="L31" s="125">
        <v>0</v>
      </c>
      <c r="M31" s="126" t="str">
        <f>Scheids!$D$13</f>
        <v>Ruud Bakas</v>
      </c>
      <c r="N31" s="127"/>
      <c r="O31" s="128"/>
      <c r="Q31" s="129">
        <v>2</v>
      </c>
      <c r="R31" s="129">
        <v>2</v>
      </c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J2</v>
      </c>
      <c r="F32" s="121"/>
      <c r="G32" s="118" t="s">
        <v>294</v>
      </c>
      <c r="H32" s="121" t="str">
        <f>$A$47</f>
        <v>Springwijs J1</v>
      </c>
      <c r="I32" s="122"/>
      <c r="J32" s="123">
        <v>3</v>
      </c>
      <c r="K32" s="124" t="s">
        <v>294</v>
      </c>
      <c r="L32" s="125">
        <v>0</v>
      </c>
      <c r="M32" s="126" t="str">
        <f>Scheids!$F$13</f>
        <v>Gennaro vd Kan</v>
      </c>
      <c r="N32" s="127"/>
      <c r="O32" s="128"/>
      <c r="Q32" s="129">
        <v>1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J2</v>
      </c>
      <c r="F33" s="121"/>
      <c r="G33" s="118" t="s">
        <v>294</v>
      </c>
      <c r="H33" s="121" t="str">
        <f>$A$46</f>
        <v>Vermeer J1</v>
      </c>
      <c r="I33" s="122"/>
      <c r="J33" s="123">
        <v>0</v>
      </c>
      <c r="K33" s="124" t="s">
        <v>294</v>
      </c>
      <c r="L33" s="125">
        <v>5</v>
      </c>
      <c r="M33" s="126" t="str">
        <f>Scheids!$F$13</f>
        <v>Gennaro vd Kan</v>
      </c>
      <c r="N33" s="127"/>
      <c r="O33" s="128"/>
      <c r="Q33" s="129">
        <v>2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Rembrandt J1</v>
      </c>
      <c r="F34" s="121"/>
      <c r="G34" s="118" t="s">
        <v>294</v>
      </c>
      <c r="H34" s="121" t="str">
        <f>$A$45</f>
        <v>Gabriël J1</v>
      </c>
      <c r="I34" s="122"/>
      <c r="J34" s="123">
        <v>0</v>
      </c>
      <c r="K34" s="124" t="s">
        <v>294</v>
      </c>
      <c r="L34" s="125">
        <v>6</v>
      </c>
      <c r="M34" s="126" t="str">
        <f>Scheids!$F$13</f>
        <v>Gennaro vd Kan</v>
      </c>
      <c r="N34" s="127"/>
      <c r="O34" s="128"/>
      <c r="Q34" s="129">
        <v>1</v>
      </c>
      <c r="R34" s="129">
        <v>2</v>
      </c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Widar J1</v>
      </c>
      <c r="F35" s="121"/>
      <c r="G35" s="118"/>
      <c r="H35" s="121" t="str">
        <f>$A$43</f>
        <v>Max J2</v>
      </c>
      <c r="I35" s="122"/>
      <c r="J35" s="123"/>
      <c r="K35" s="124" t="s">
        <v>294</v>
      </c>
      <c r="L35" s="125"/>
      <c r="M35" s="126" t="str">
        <f>Scheids!$D$13</f>
        <v>Ruud Bakas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Vermeer J1</v>
      </c>
      <c r="F36" s="121"/>
      <c r="G36" s="118" t="s">
        <v>294</v>
      </c>
      <c r="H36" s="121" t="str">
        <f>$A$41</f>
        <v>Rembrandt J1</v>
      </c>
      <c r="I36" s="122"/>
      <c r="J36" s="123"/>
      <c r="K36" s="124" t="s">
        <v>294</v>
      </c>
      <c r="L36" s="125"/>
      <c r="M36" s="126" t="str">
        <f>Scheids!$D$13</f>
        <v>Ruud Bakas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Gabriël J1</v>
      </c>
      <c r="F37" s="121"/>
      <c r="G37" s="118" t="s">
        <v>294</v>
      </c>
      <c r="H37" s="121" t="str">
        <f>$A$42</f>
        <v>Maria J2</v>
      </c>
      <c r="I37" s="122"/>
      <c r="J37" s="123"/>
      <c r="K37" s="124" t="s">
        <v>294</v>
      </c>
      <c r="L37" s="125"/>
      <c r="M37" s="126" t="str">
        <f>Scheids!$F$13</f>
        <v>Gennaro vd Kan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Springwijs J1</v>
      </c>
      <c r="F38" s="136"/>
      <c r="G38" s="133" t="s">
        <v>294</v>
      </c>
      <c r="H38" s="136" t="str">
        <f>$A$44</f>
        <v>DSV J1</v>
      </c>
      <c r="I38" s="137"/>
      <c r="J38" s="138"/>
      <c r="K38" s="139" t="s">
        <v>294</v>
      </c>
      <c r="L38" s="140"/>
      <c r="M38" s="141" t="str">
        <f>Scheids!$F$13</f>
        <v>Gennaro vd Kan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Scholen!$P$10</f>
        <v>Rembrandt J1</v>
      </c>
      <c r="B41" s="155"/>
      <c r="C41" s="155"/>
      <c r="D41" s="156"/>
      <c r="E41" s="157">
        <f>IF(AND($J$11&lt;&gt;"", $L$11&lt;&gt;""),IF($J$11&gt;$L$11,3,IF($J$11=$L$11,1,0)),"")</f>
        <v>3</v>
      </c>
      <c r="F41" s="170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0</v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7</v>
      </c>
      <c r="Q41" s="152">
        <f t="shared" ref="Q41:Q48" si="0">COUNT(E41:N41)</f>
        <v>6</v>
      </c>
      <c r="R41" s="152">
        <f>COUNTIFS(E41:N41,3)</f>
        <v>2</v>
      </c>
      <c r="S41" s="152">
        <f>COUNTIFS(E41:N41,0)</f>
        <v>3</v>
      </c>
      <c r="T41" s="152">
        <f>COUNTIFS(E41:N41,1)</f>
        <v>1</v>
      </c>
      <c r="U41" s="152">
        <f>J11+L18+J21+J23+L29+J34+L36</f>
        <v>4</v>
      </c>
      <c r="V41" s="152">
        <f>L11+J18+L21+L23+J29+L34+J36</f>
        <v>16</v>
      </c>
      <c r="W41" s="152">
        <f>Q11+R18+Q21+Q23+R29+Q34+R36</f>
        <v>10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Scholen!$P$11</f>
        <v>Maria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6</v>
      </c>
      <c r="R42" s="152">
        <f t="shared" ref="R42:R48" si="2">COUNTIFS(E42:N42,3)</f>
        <v>1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</v>
      </c>
      <c r="V42" s="152">
        <f>J11+L15+J19+L25+L28+L33+J37</f>
        <v>15</v>
      </c>
      <c r="W42" s="152">
        <f>R11+Q15+R19+Q25+Q28+Q33+R37</f>
        <v>11</v>
      </c>
      <c r="X42" s="129">
        <f t="shared" si="1"/>
        <v>7</v>
      </c>
    </row>
    <row r="43" spans="1:24" ht="18.75" customHeight="1" x14ac:dyDescent="0.3">
      <c r="A43" s="154" t="str">
        <f>Scholen!$P$12</f>
        <v>Max J2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3</v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15</v>
      </c>
      <c r="Q43" s="152">
        <f t="shared" si="0"/>
        <v>6</v>
      </c>
      <c r="R43" s="152">
        <f t="shared" si="2"/>
        <v>5</v>
      </c>
      <c r="S43" s="152">
        <f t="shared" si="3"/>
        <v>1</v>
      </c>
      <c r="T43" s="152">
        <f t="shared" si="4"/>
        <v>0</v>
      </c>
      <c r="U43" s="152">
        <f>J12+L15+J20+L23+J27+J32+L35</f>
        <v>19</v>
      </c>
      <c r="V43" s="152">
        <f>L12+J15+L20+J23+L27+L32+J35</f>
        <v>2</v>
      </c>
      <c r="W43" s="152">
        <f>Q12+R15+Q20+R23+Q27+Q32+R35</f>
        <v>8</v>
      </c>
      <c r="X43" s="129">
        <f t="shared" si="1"/>
        <v>2</v>
      </c>
    </row>
    <row r="44" spans="1:24" ht="18.75" customHeight="1" x14ac:dyDescent="0.3">
      <c r="A44" s="161" t="str">
        <f>Scholen!$P$13</f>
        <v>DSV J1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1</v>
      </c>
      <c r="L44" s="171"/>
      <c r="M44" s="172">
        <f>IF(AND($J$31&lt;&gt;"",$L$31&lt;&gt;""),IF($J$31&lt;$L$31,3,IF($J$31=$L$31,1,0)),"")</f>
        <v>0</v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2</v>
      </c>
      <c r="Q44" s="152">
        <f t="shared" si="0"/>
        <v>6</v>
      </c>
      <c r="R44" s="152">
        <f t="shared" si="2"/>
        <v>0</v>
      </c>
      <c r="S44" s="152">
        <f t="shared" si="3"/>
        <v>4</v>
      </c>
      <c r="T44" s="152">
        <f t="shared" si="4"/>
        <v>2</v>
      </c>
      <c r="U44" s="152">
        <f>L12+J16+J19+L24+J29+L31+L38</f>
        <v>1</v>
      </c>
      <c r="V44" s="152">
        <f>J12+L16+L19+J24+L29+J31+J38</f>
        <v>11</v>
      </c>
      <c r="W44" s="152">
        <f>R12+Q16+Q19+R24+Q29+R31+R38</f>
        <v>11</v>
      </c>
      <c r="X44" s="129">
        <f t="shared" si="1"/>
        <v>8</v>
      </c>
    </row>
    <row r="45" spans="1:24" ht="18.75" customHeight="1" x14ac:dyDescent="0.3">
      <c r="A45" s="154" t="str">
        <f>Scholen!$P$14</f>
        <v>Gabriël J1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3</v>
      </c>
      <c r="I45" s="17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3</v>
      </c>
      <c r="L45" s="158"/>
      <c r="M45" s="156">
        <f>IF(AND($J$34&lt;&gt;"",$L$34&lt;&gt;""),IF($J$34&lt;$L$34,3,IF($J$34=$L$34,1,0)),"")</f>
        <v>3</v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13</v>
      </c>
      <c r="Q45" s="152">
        <f t="shared" si="0"/>
        <v>6</v>
      </c>
      <c r="R45" s="152">
        <f t="shared" si="2"/>
        <v>4</v>
      </c>
      <c r="S45" s="152">
        <f t="shared" si="3"/>
        <v>1</v>
      </c>
      <c r="T45" s="152">
        <f t="shared" si="4"/>
        <v>1</v>
      </c>
      <c r="U45" s="152">
        <f>J13+L16+L20+J26+L30+L34+J37</f>
        <v>15</v>
      </c>
      <c r="V45" s="152">
        <f>L13+J16+J20+L26+J30+J34+L37</f>
        <v>2</v>
      </c>
      <c r="W45" s="152">
        <f>Q13+R16+R20+Q26+R30+R34+Q37</f>
        <v>11</v>
      </c>
      <c r="X45" s="129">
        <f t="shared" si="1"/>
        <v>3</v>
      </c>
    </row>
    <row r="46" spans="1:24" ht="18.75" customHeight="1" x14ac:dyDescent="0.3">
      <c r="A46" s="154" t="str">
        <f>Scholen!$P$15</f>
        <v>Vermeer J1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1</v>
      </c>
      <c r="G46" s="171"/>
      <c r="H46" s="172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3</v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7</v>
      </c>
      <c r="Q46" s="152">
        <f t="shared" si="0"/>
        <v>6</v>
      </c>
      <c r="R46" s="152">
        <f t="shared" si="2"/>
        <v>2</v>
      </c>
      <c r="S46" s="152">
        <f t="shared" si="3"/>
        <v>3</v>
      </c>
      <c r="T46" s="152">
        <f t="shared" si="4"/>
        <v>1</v>
      </c>
      <c r="U46" s="152">
        <f>L13+J17+J22+J24+L27+L33+J36</f>
        <v>9</v>
      </c>
      <c r="V46" s="152">
        <f>J13+L17+L22+L24+J27+J33+L36</f>
        <v>8</v>
      </c>
      <c r="W46" s="152">
        <f>R13+Q17+Q22+Q24+R27+R33+Q36</f>
        <v>9</v>
      </c>
      <c r="X46" s="129">
        <f t="shared" si="1"/>
        <v>4</v>
      </c>
    </row>
    <row r="47" spans="1:24" ht="18.75" customHeight="1" x14ac:dyDescent="0.3">
      <c r="A47" s="154" t="str">
        <f>IF(Scholen!$P$16&lt;&gt;"",Scholen!$P$16,"")</f>
        <v>Springwijs J1</v>
      </c>
      <c r="B47" s="155"/>
      <c r="C47" s="155"/>
      <c r="D47" s="156"/>
      <c r="E47" s="170">
        <f>IF(AND($J$14&lt;&gt;"",$L$14&lt;&gt;""),IF($J$14&gt;$L$14,3,IF($J$14=$L$14,1,0)),"")</f>
        <v>0</v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0</v>
      </c>
      <c r="L47" s="158"/>
      <c r="M47" s="164">
        <f>IF(AND($J$32&lt;&gt;"",$L$32&lt;&gt;""),IF($J$32&lt;$L$32,3,IF($J$32=$L$32,1,0)),"")</f>
        <v>0</v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4</v>
      </c>
      <c r="Q47" s="152">
        <f t="shared" si="0"/>
        <v>6</v>
      </c>
      <c r="R47" s="152">
        <f t="shared" si="2"/>
        <v>1</v>
      </c>
      <c r="S47" s="152">
        <f t="shared" si="3"/>
        <v>4</v>
      </c>
      <c r="T47" s="152">
        <f t="shared" si="4"/>
        <v>1</v>
      </c>
      <c r="U47" s="152">
        <f>J14+L17+L21+L25+J30+L32+J38</f>
        <v>4</v>
      </c>
      <c r="V47" s="152">
        <f>L14+J17+J21+J25+L30+J32+L38</f>
        <v>12</v>
      </c>
      <c r="W47" s="152">
        <f>Q14+R17+R21+R25+Q30+R32+Q38</f>
        <v>10</v>
      </c>
      <c r="X47" s="129">
        <f t="shared" si="1"/>
        <v>6</v>
      </c>
    </row>
    <row r="48" spans="1:24" ht="18.75" customHeight="1" x14ac:dyDescent="0.3">
      <c r="A48" s="154" t="str">
        <f>IF(Scholen!$P$17&lt;&gt;"",Scholen!$P$17,"")</f>
        <v>Widar J1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3</v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18</v>
      </c>
      <c r="Q48" s="152">
        <f t="shared" si="0"/>
        <v>6</v>
      </c>
      <c r="R48" s="152">
        <f t="shared" si="2"/>
        <v>6</v>
      </c>
      <c r="S48" s="152">
        <f t="shared" si="3"/>
        <v>0</v>
      </c>
      <c r="T48" s="152">
        <f t="shared" si="4"/>
        <v>0</v>
      </c>
      <c r="U48" s="152">
        <f>L14+J18+L22+L26+L28+J31+J35</f>
        <v>15</v>
      </c>
      <c r="V48" s="152">
        <f>J14+L18+J22+J26+J28+L31+L35</f>
        <v>2</v>
      </c>
      <c r="W48" s="152">
        <f>+R14+Q18+R22+R26+R28+Q31+Q35</f>
        <v>11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9A13-374D-4AE4-859D-52FF68D35E92}">
  <sheetPr codeName="Blad11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Scholen!$R$8</f>
        <v>Jongens</v>
      </c>
      <c r="F8" s="81"/>
      <c r="G8" s="81"/>
      <c r="H8" s="82" t="s">
        <v>1</v>
      </c>
      <c r="I8" s="83" t="s">
        <v>10</v>
      </c>
      <c r="J8" s="81" t="s">
        <v>11</v>
      </c>
      <c r="K8" s="84">
        <f>Scholen!$S$7</f>
        <v>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J1</v>
      </c>
      <c r="F11" s="107"/>
      <c r="G11" s="104" t="s">
        <v>294</v>
      </c>
      <c r="H11" s="107" t="str">
        <f>$A$42</f>
        <v>Maan J1</v>
      </c>
      <c r="I11" s="108"/>
      <c r="J11" s="109">
        <v>3</v>
      </c>
      <c r="K11" s="110" t="s">
        <v>294</v>
      </c>
      <c r="L11" s="111">
        <v>0</v>
      </c>
      <c r="M11" s="112" t="str">
        <f>Scheids!$D$14</f>
        <v>Rob Staakman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J3</v>
      </c>
      <c r="F12" s="121"/>
      <c r="G12" s="118" t="s">
        <v>294</v>
      </c>
      <c r="H12" s="121" t="str">
        <f>$A$44</f>
        <v>Max J3</v>
      </c>
      <c r="I12" s="122"/>
      <c r="J12" s="123">
        <v>0</v>
      </c>
      <c r="K12" s="124" t="s">
        <v>294</v>
      </c>
      <c r="L12" s="125">
        <v>1</v>
      </c>
      <c r="M12" s="126" t="str">
        <f>Scheids!$D$14</f>
        <v>Rob Staakman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J2</v>
      </c>
      <c r="F13" s="121"/>
      <c r="G13" s="118" t="s">
        <v>294</v>
      </c>
      <c r="H13" s="121" t="str">
        <f>$A$46</f>
        <v>BMS J2</v>
      </c>
      <c r="I13" s="122"/>
      <c r="J13" s="123">
        <v>0</v>
      </c>
      <c r="K13" s="124" t="s">
        <v>294</v>
      </c>
      <c r="L13" s="125">
        <v>1</v>
      </c>
      <c r="M13" s="126" t="str">
        <f>Scheids!$D$14</f>
        <v>Rob Staakman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Talent J2</v>
      </c>
      <c r="F14" s="121"/>
      <c r="G14" s="118" t="s">
        <v>294</v>
      </c>
      <c r="H14" s="121" t="str">
        <f>$A$48</f>
        <v>Tuin J2</v>
      </c>
      <c r="I14" s="122"/>
      <c r="J14" s="123">
        <v>0</v>
      </c>
      <c r="K14" s="124" t="s">
        <v>294</v>
      </c>
      <c r="L14" s="125">
        <v>2</v>
      </c>
      <c r="M14" s="126" t="str">
        <f>Scheids!$F$14</f>
        <v>Jack Altena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J1</v>
      </c>
      <c r="F15" s="121"/>
      <c r="G15" s="118" t="s">
        <v>294</v>
      </c>
      <c r="H15" s="121" t="str">
        <f>$A$43</f>
        <v>Maria J3</v>
      </c>
      <c r="I15" s="122"/>
      <c r="J15" s="123">
        <v>0</v>
      </c>
      <c r="K15" s="124" t="s">
        <v>294</v>
      </c>
      <c r="L15" s="125">
        <v>3</v>
      </c>
      <c r="M15" s="126" t="str">
        <f>Scheids!$F$14</f>
        <v>Jack Altena</v>
      </c>
      <c r="N15" s="127"/>
      <c r="O15" s="128"/>
      <c r="Q15" s="129">
        <v>0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Max J3</v>
      </c>
      <c r="F16" s="121"/>
      <c r="G16" s="118" t="s">
        <v>294</v>
      </c>
      <c r="H16" s="121" t="str">
        <f>$A$45</f>
        <v>Mozaïek J2</v>
      </c>
      <c r="I16" s="122"/>
      <c r="J16" s="123">
        <v>1</v>
      </c>
      <c r="K16" s="124" t="s">
        <v>294</v>
      </c>
      <c r="L16" s="125">
        <v>0</v>
      </c>
      <c r="M16" s="126" t="str">
        <f>Scheids!$F$14</f>
        <v>Jack Altena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J2</v>
      </c>
      <c r="F17" s="121"/>
      <c r="G17" s="118" t="s">
        <v>294</v>
      </c>
      <c r="H17" s="121" t="str">
        <f>$A$47</f>
        <v>Talent J2</v>
      </c>
      <c r="I17" s="122"/>
      <c r="J17" s="123">
        <v>0</v>
      </c>
      <c r="K17" s="124" t="s">
        <v>294</v>
      </c>
      <c r="L17" s="125">
        <v>1</v>
      </c>
      <c r="M17" s="126" t="str">
        <f>Scheids!$D$14</f>
        <v>Rob Staakman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Tuin J2</v>
      </c>
      <c r="F18" s="121"/>
      <c r="G18" s="118" t="s">
        <v>294</v>
      </c>
      <c r="H18" s="121" t="str">
        <f>$A$41</f>
        <v>Eglantier-B J1</v>
      </c>
      <c r="I18" s="122"/>
      <c r="J18" s="123">
        <v>4</v>
      </c>
      <c r="K18" s="124" t="s">
        <v>294</v>
      </c>
      <c r="L18" s="125">
        <v>0</v>
      </c>
      <c r="M18" s="126" t="str">
        <f>Scheids!$D$14</f>
        <v>Rob Staakman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Max J3</v>
      </c>
      <c r="F19" s="121"/>
      <c r="G19" s="118" t="s">
        <v>294</v>
      </c>
      <c r="H19" s="121" t="str">
        <f>$A$42</f>
        <v>Maan J1</v>
      </c>
      <c r="I19" s="122"/>
      <c r="J19" s="123">
        <v>3</v>
      </c>
      <c r="K19" s="124" t="s">
        <v>294</v>
      </c>
      <c r="L19" s="125">
        <v>0</v>
      </c>
      <c r="M19" s="126" t="str">
        <f>Scheids!$D$14</f>
        <v>Rob Staakman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J3</v>
      </c>
      <c r="F20" s="121"/>
      <c r="G20" s="118" t="s">
        <v>294</v>
      </c>
      <c r="H20" s="121" t="str">
        <f>$A$45</f>
        <v>Mozaïek J2</v>
      </c>
      <c r="I20" s="122"/>
      <c r="J20" s="123">
        <v>0</v>
      </c>
      <c r="K20" s="124" t="s">
        <v>294</v>
      </c>
      <c r="L20" s="125">
        <v>0</v>
      </c>
      <c r="M20" s="126" t="str">
        <f>Scheids!$F$14</f>
        <v>Jack Altena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J1</v>
      </c>
      <c r="F21" s="121"/>
      <c r="G21" s="118" t="s">
        <v>294</v>
      </c>
      <c r="H21" s="121" t="str">
        <f>$A$47</f>
        <v>Talent J2</v>
      </c>
      <c r="I21" s="122"/>
      <c r="J21" s="123">
        <v>0</v>
      </c>
      <c r="K21" s="124" t="s">
        <v>294</v>
      </c>
      <c r="L21" s="125">
        <v>1</v>
      </c>
      <c r="M21" s="126" t="str">
        <f>Scheids!$F$14</f>
        <v>Jack Altena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BMS J2</v>
      </c>
      <c r="F22" s="121"/>
      <c r="G22" s="118" t="s">
        <v>294</v>
      </c>
      <c r="H22" s="121" t="str">
        <f>$A$48</f>
        <v>Tuin J2</v>
      </c>
      <c r="I22" s="122"/>
      <c r="J22" s="123">
        <v>0</v>
      </c>
      <c r="K22" s="124" t="s">
        <v>294</v>
      </c>
      <c r="L22" s="125">
        <v>1</v>
      </c>
      <c r="M22" s="126" t="str">
        <f>Scheids!$F$14</f>
        <v>Jack Altena</v>
      </c>
      <c r="N22" s="127"/>
      <c r="O22" s="128"/>
      <c r="Q22" s="129">
        <v>1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J1</v>
      </c>
      <c r="F23" s="121"/>
      <c r="G23" s="118" t="s">
        <v>294</v>
      </c>
      <c r="H23" s="121" t="str">
        <f>$A$43</f>
        <v>Maria J3</v>
      </c>
      <c r="I23" s="122"/>
      <c r="J23" s="123">
        <v>2</v>
      </c>
      <c r="K23" s="124" t="s">
        <v>294</v>
      </c>
      <c r="L23" s="125">
        <v>1</v>
      </c>
      <c r="M23" s="126" t="str">
        <f>Scheids!$D$14</f>
        <v>Rob Staakman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J2</v>
      </c>
      <c r="F24" s="121"/>
      <c r="G24" s="118" t="s">
        <v>294</v>
      </c>
      <c r="H24" s="121" t="str">
        <f>$A$44</f>
        <v>Max J3</v>
      </c>
      <c r="I24" s="122"/>
      <c r="J24" s="123">
        <v>0</v>
      </c>
      <c r="K24" s="124" t="s">
        <v>294</v>
      </c>
      <c r="L24" s="125">
        <v>1</v>
      </c>
      <c r="M24" s="126" t="str">
        <f>Scheids!$D$14</f>
        <v>Rob Staakman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J1</v>
      </c>
      <c r="F25" s="121"/>
      <c r="G25" s="118" t="s">
        <v>294</v>
      </c>
      <c r="H25" s="121" t="str">
        <f>$A$47</f>
        <v>Talent J2</v>
      </c>
      <c r="I25" s="122"/>
      <c r="J25" s="123">
        <v>0</v>
      </c>
      <c r="K25" s="124" t="s">
        <v>294</v>
      </c>
      <c r="L25" s="125">
        <v>3</v>
      </c>
      <c r="M25" s="126" t="str">
        <f>Scheids!$D$14</f>
        <v>Rob Staakman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Mozaïek J2</v>
      </c>
      <c r="F26" s="121"/>
      <c r="G26" s="118" t="s">
        <v>294</v>
      </c>
      <c r="H26" s="121" t="str">
        <f>$A$48</f>
        <v>Tuin J2</v>
      </c>
      <c r="I26" s="122"/>
      <c r="J26" s="123">
        <v>0</v>
      </c>
      <c r="K26" s="124" t="s">
        <v>294</v>
      </c>
      <c r="L26" s="125">
        <v>4</v>
      </c>
      <c r="M26" s="126" t="str">
        <f>Scheids!$F$14</f>
        <v>Jack Altena</v>
      </c>
      <c r="N26" s="127"/>
      <c r="O26" s="128"/>
      <c r="Q26" s="129">
        <v>2</v>
      </c>
      <c r="R26" s="129">
        <v>2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J3</v>
      </c>
      <c r="F27" s="121"/>
      <c r="G27" s="118" t="s">
        <v>294</v>
      </c>
      <c r="H27" s="121" t="str">
        <f>$A$46</f>
        <v>BMS J2</v>
      </c>
      <c r="I27" s="122"/>
      <c r="J27" s="123">
        <v>0</v>
      </c>
      <c r="K27" s="124" t="s">
        <v>294</v>
      </c>
      <c r="L27" s="125">
        <v>1</v>
      </c>
      <c r="M27" s="126" t="str">
        <f>Scheids!$F$14</f>
        <v>Jack Altena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Maan J1</v>
      </c>
      <c r="F28" s="121"/>
      <c r="G28" s="118" t="s">
        <v>294</v>
      </c>
      <c r="H28" s="121" t="str">
        <f>$A$48</f>
        <v>Tuin J2</v>
      </c>
      <c r="I28" s="122"/>
      <c r="J28" s="123">
        <v>0</v>
      </c>
      <c r="K28" s="124" t="s">
        <v>294</v>
      </c>
      <c r="L28" s="125">
        <v>3</v>
      </c>
      <c r="M28" s="126" t="str">
        <f>Scheids!$F$14</f>
        <v>Jack Altena</v>
      </c>
      <c r="N28" s="127"/>
      <c r="O28" s="128"/>
      <c r="Q28" s="129">
        <v>1</v>
      </c>
      <c r="R28" s="129">
        <v>1</v>
      </c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Max J3</v>
      </c>
      <c r="F29" s="121"/>
      <c r="G29" s="118" t="s">
        <v>294</v>
      </c>
      <c r="H29" s="121" t="str">
        <f>$A$41</f>
        <v>Eglantier-B J1</v>
      </c>
      <c r="I29" s="122"/>
      <c r="J29" s="123">
        <v>0</v>
      </c>
      <c r="K29" s="124" t="s">
        <v>294</v>
      </c>
      <c r="L29" s="125">
        <v>0</v>
      </c>
      <c r="M29" s="126" t="str">
        <f>Scheids!$D$14</f>
        <v>Rob Staakman</v>
      </c>
      <c r="N29" s="127"/>
      <c r="O29" s="128"/>
      <c r="Q29" s="129">
        <v>2</v>
      </c>
      <c r="R29" s="129">
        <v>0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Talent J2</v>
      </c>
      <c r="F30" s="121"/>
      <c r="G30" s="118" t="s">
        <v>294</v>
      </c>
      <c r="H30" s="121" t="str">
        <f>$A$45</f>
        <v>Mozaïek J2</v>
      </c>
      <c r="I30" s="122"/>
      <c r="J30" s="123">
        <v>1</v>
      </c>
      <c r="K30" s="124" t="s">
        <v>294</v>
      </c>
      <c r="L30" s="125">
        <v>0</v>
      </c>
      <c r="M30" s="126" t="str">
        <f>Scheids!$D$14</f>
        <v>Rob Staakman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Tuin J2</v>
      </c>
      <c r="F31" s="121"/>
      <c r="G31" s="118" t="s">
        <v>294</v>
      </c>
      <c r="H31" s="121" t="str">
        <f>$A$44</f>
        <v>Max J3</v>
      </c>
      <c r="I31" s="122"/>
      <c r="J31" s="123">
        <v>3</v>
      </c>
      <c r="K31" s="124" t="s">
        <v>294</v>
      </c>
      <c r="L31" s="125">
        <v>0</v>
      </c>
      <c r="M31" s="126" t="str">
        <f>Scheids!$D$14</f>
        <v>Rob Staakman</v>
      </c>
      <c r="N31" s="127"/>
      <c r="O31" s="128"/>
      <c r="Q31" s="129">
        <v>2</v>
      </c>
      <c r="R31" s="129">
        <v>2</v>
      </c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J3</v>
      </c>
      <c r="F32" s="121"/>
      <c r="G32" s="118" t="s">
        <v>294</v>
      </c>
      <c r="H32" s="121" t="str">
        <f>$A$47</f>
        <v>Talent J2</v>
      </c>
      <c r="I32" s="122"/>
      <c r="J32" s="123">
        <v>0</v>
      </c>
      <c r="K32" s="124" t="s">
        <v>294</v>
      </c>
      <c r="L32" s="125">
        <v>2</v>
      </c>
      <c r="M32" s="126" t="str">
        <f>Scheids!$F$14</f>
        <v>Jack Altena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J1</v>
      </c>
      <c r="F33" s="121"/>
      <c r="G33" s="118" t="s">
        <v>294</v>
      </c>
      <c r="H33" s="121" t="str">
        <f>$A$46</f>
        <v>BMS J2</v>
      </c>
      <c r="I33" s="122"/>
      <c r="J33" s="123">
        <v>0</v>
      </c>
      <c r="K33" s="124" t="s">
        <v>294</v>
      </c>
      <c r="L33" s="125">
        <v>3</v>
      </c>
      <c r="M33" s="126" t="str">
        <f>Scheids!$F$14</f>
        <v>Jack Altena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J1</v>
      </c>
      <c r="F34" s="121"/>
      <c r="G34" s="118" t="s">
        <v>294</v>
      </c>
      <c r="H34" s="121" t="str">
        <f>$A$45</f>
        <v>Mozaïek J2</v>
      </c>
      <c r="I34" s="122"/>
      <c r="J34" s="123">
        <v>1</v>
      </c>
      <c r="K34" s="124" t="s">
        <v>294</v>
      </c>
      <c r="L34" s="125">
        <v>1</v>
      </c>
      <c r="M34" s="126" t="str">
        <f>Scheids!$F$14</f>
        <v>Jack Altena</v>
      </c>
      <c r="N34" s="127"/>
      <c r="O34" s="128"/>
      <c r="Q34" s="129">
        <v>2</v>
      </c>
      <c r="R34" s="129">
        <v>2</v>
      </c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Tuin J2</v>
      </c>
      <c r="F35" s="121"/>
      <c r="G35" s="118" t="s">
        <v>294</v>
      </c>
      <c r="H35" s="121" t="str">
        <f>$A$43</f>
        <v>Maria J3</v>
      </c>
      <c r="I35" s="122"/>
      <c r="J35" s="123"/>
      <c r="K35" s="124" t="s">
        <v>294</v>
      </c>
      <c r="L35" s="125"/>
      <c r="M35" s="126" t="str">
        <f>Scheids!$D$14</f>
        <v>Rob Staakman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J2</v>
      </c>
      <c r="F36" s="121"/>
      <c r="G36" s="118" t="s">
        <v>294</v>
      </c>
      <c r="H36" s="121" t="str">
        <f>$A$41</f>
        <v>Eglantier-B J1</v>
      </c>
      <c r="I36" s="122"/>
      <c r="J36" s="123"/>
      <c r="K36" s="124" t="s">
        <v>294</v>
      </c>
      <c r="L36" s="125"/>
      <c r="M36" s="126" t="str">
        <f>Scheids!$D$14</f>
        <v>Rob Staakman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J2</v>
      </c>
      <c r="F37" s="121"/>
      <c r="G37" s="118" t="s">
        <v>294</v>
      </c>
      <c r="H37" s="121" t="str">
        <f>$A$42</f>
        <v>Maan J1</v>
      </c>
      <c r="I37" s="122"/>
      <c r="J37" s="123"/>
      <c r="K37" s="124" t="s">
        <v>294</v>
      </c>
      <c r="L37" s="125"/>
      <c r="M37" s="126" t="str">
        <f>Scheids!$F$14</f>
        <v>Jack Altena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Talent J2</v>
      </c>
      <c r="F38" s="136"/>
      <c r="G38" s="133" t="s">
        <v>294</v>
      </c>
      <c r="H38" s="136" t="str">
        <f>$A$44</f>
        <v>Max J3</v>
      </c>
      <c r="I38" s="137"/>
      <c r="J38" s="138"/>
      <c r="K38" s="139" t="s">
        <v>294</v>
      </c>
      <c r="L38" s="140"/>
      <c r="M38" s="141" t="str">
        <f>Scheids!$F$14</f>
        <v>Jack Altena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Scholen!$R$10</f>
        <v>Eglantier-B J1</v>
      </c>
      <c r="B41" s="155"/>
      <c r="C41" s="155"/>
      <c r="D41" s="156"/>
      <c r="E41" s="157">
        <f>IF(AND($J$11&lt;&gt;"", $L$11&lt;&gt;""),IF($J$11&gt;$L$11,3,IF($J$11=$L$11,1,0)),"")</f>
        <v>3</v>
      </c>
      <c r="F41" s="157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8</v>
      </c>
      <c r="Q41" s="152">
        <f t="shared" ref="Q41:Q48" si="0">COUNT(E41:N41)</f>
        <v>6</v>
      </c>
      <c r="R41" s="152">
        <f>COUNTIFS(E41:N41,3)</f>
        <v>2</v>
      </c>
      <c r="S41" s="152">
        <f>COUNTIFS(E41:N41,0)</f>
        <v>2</v>
      </c>
      <c r="T41" s="152">
        <f>COUNTIFS(E41:N41,1)</f>
        <v>2</v>
      </c>
      <c r="U41" s="152">
        <f>J11+L18+J21+J23+L29+J34+L36</f>
        <v>6</v>
      </c>
      <c r="V41" s="152">
        <f>L11+J18+L21+L23+J29+L34+J36</f>
        <v>7</v>
      </c>
      <c r="W41" s="152">
        <f>Q11+R18+Q21+Q23+R29+Q34+R36</f>
        <v>9</v>
      </c>
      <c r="X41" s="129">
        <f t="shared" ref="X41:X48" si="1">IF(Y41="",IF(O41&lt;&gt;"",_xlfn.RANK.EQ(O41,$O$41:$O$48),""),Y41)</f>
        <v>5</v>
      </c>
    </row>
    <row r="42" spans="1:24" ht="18.75" customHeight="1" x14ac:dyDescent="0.3">
      <c r="A42" s="159" t="str">
        <f>Scholen!$R$11</f>
        <v>Maan J1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58"/>
      <c r="K42" s="156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0</v>
      </c>
      <c r="Q42" s="152">
        <f t="shared" si="0"/>
        <v>6</v>
      </c>
      <c r="R42" s="152">
        <f t="shared" ref="R42:R48" si="2">COUNTIFS(E42:N42,3)</f>
        <v>0</v>
      </c>
      <c r="S42" s="152">
        <f t="shared" ref="S42:S48" si="3">COUNTIFS(E42:N42,0)</f>
        <v>6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18</v>
      </c>
      <c r="W42" s="152">
        <f>R11+Q15+R19+Q25+Q28+Q33+R37</f>
        <v>6</v>
      </c>
      <c r="X42" s="129">
        <f t="shared" si="1"/>
        <v>8</v>
      </c>
    </row>
    <row r="43" spans="1:24" ht="18.75" customHeight="1" x14ac:dyDescent="0.3">
      <c r="A43" s="154" t="str">
        <f>Scholen!$R$12</f>
        <v>Maria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6</v>
      </c>
      <c r="R43" s="152">
        <f t="shared" si="2"/>
        <v>1</v>
      </c>
      <c r="S43" s="152">
        <f t="shared" si="3"/>
        <v>4</v>
      </c>
      <c r="T43" s="152">
        <f t="shared" si="4"/>
        <v>1</v>
      </c>
      <c r="U43" s="152">
        <f>J12+L15+J20+L23+J27+J32+L35</f>
        <v>4</v>
      </c>
      <c r="V43" s="152">
        <f>L12+J15+L20+J23+L27+L32+J35</f>
        <v>6</v>
      </c>
      <c r="W43" s="152">
        <f>Q12+R15+Q20+R23+Q27+Q32+R35</f>
        <v>9</v>
      </c>
      <c r="X43" s="129">
        <f t="shared" si="1"/>
        <v>6</v>
      </c>
    </row>
    <row r="44" spans="1:24" ht="18.75" customHeight="1" x14ac:dyDescent="0.3">
      <c r="A44" s="161" t="str">
        <f>Scholen!$R$13</f>
        <v>Max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1</v>
      </c>
      <c r="L44" s="158"/>
      <c r="M44" s="156">
        <f>IF(AND($J$31&lt;&gt;"",$L$31&lt;&gt;""),IF($J$31&lt;$L$31,3,IF($J$31=$L$31,1,0)),"")</f>
        <v>0</v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13</v>
      </c>
      <c r="Q44" s="152">
        <f t="shared" si="0"/>
        <v>6</v>
      </c>
      <c r="R44" s="152">
        <f t="shared" si="2"/>
        <v>4</v>
      </c>
      <c r="S44" s="152">
        <f t="shared" si="3"/>
        <v>1</v>
      </c>
      <c r="T44" s="152">
        <f t="shared" si="4"/>
        <v>1</v>
      </c>
      <c r="U44" s="152">
        <f>L12+J16+J19+L24+J29+L31+L38</f>
        <v>6</v>
      </c>
      <c r="V44" s="152">
        <f>J12+L16+L19+J24+L29+J31+J38</f>
        <v>3</v>
      </c>
      <c r="W44" s="152">
        <f>R12+Q16+Q19+R24+Q29+R31+R38</f>
        <v>10</v>
      </c>
      <c r="X44" s="129">
        <f t="shared" si="1"/>
        <v>3</v>
      </c>
    </row>
    <row r="45" spans="1:24" ht="18.75" customHeight="1" x14ac:dyDescent="0.3">
      <c r="A45" s="154" t="str">
        <f>Scholen!$R$14</f>
        <v>Mozaïek J2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1</v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2</v>
      </c>
      <c r="Q45" s="152">
        <f t="shared" si="0"/>
        <v>6</v>
      </c>
      <c r="R45" s="152">
        <f t="shared" si="2"/>
        <v>0</v>
      </c>
      <c r="S45" s="152">
        <f t="shared" si="3"/>
        <v>4</v>
      </c>
      <c r="T45" s="152">
        <f t="shared" si="4"/>
        <v>2</v>
      </c>
      <c r="U45" s="152">
        <f>J13+L16+L20+J26+L30+L34+J37</f>
        <v>1</v>
      </c>
      <c r="V45" s="152">
        <f>L13+J16+J20+L26+J30+J34+L37</f>
        <v>8</v>
      </c>
      <c r="W45" s="152">
        <f>Q13+R16+R20+Q26+R30+R34+Q37</f>
        <v>10</v>
      </c>
      <c r="X45" s="129">
        <f t="shared" si="1"/>
        <v>7</v>
      </c>
    </row>
    <row r="46" spans="1:24" ht="18.75" customHeight="1" x14ac:dyDescent="0.3">
      <c r="A46" s="154" t="str">
        <f>Scholen!$R$15</f>
        <v>BMS J2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0</v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9</v>
      </c>
      <c r="Q46" s="152">
        <f t="shared" si="0"/>
        <v>6</v>
      </c>
      <c r="R46" s="152">
        <f t="shared" si="2"/>
        <v>3</v>
      </c>
      <c r="S46" s="152">
        <f t="shared" si="3"/>
        <v>3</v>
      </c>
      <c r="T46" s="152">
        <f t="shared" si="4"/>
        <v>0</v>
      </c>
      <c r="U46" s="152">
        <f>L13+J17+J22+J24+L27+L33+J36</f>
        <v>5</v>
      </c>
      <c r="V46" s="152">
        <f>J13+L17+L22+L24+J27+J33+L36</f>
        <v>3</v>
      </c>
      <c r="W46" s="152">
        <f>R13+Q17+Q22+Q24+R27+R33+Q36</f>
        <v>10</v>
      </c>
      <c r="X46" s="129">
        <f t="shared" si="1"/>
        <v>4</v>
      </c>
    </row>
    <row r="47" spans="1:24" ht="18.75" customHeight="1" x14ac:dyDescent="0.3">
      <c r="A47" s="154" t="str">
        <f>IF(Scholen!$R$16&lt;&gt;"",Scholen!$R$16,"")</f>
        <v>Talent J2</v>
      </c>
      <c r="B47" s="155"/>
      <c r="C47" s="155"/>
      <c r="D47" s="156"/>
      <c r="E47" s="157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15</v>
      </c>
      <c r="Q47" s="152">
        <f t="shared" si="0"/>
        <v>6</v>
      </c>
      <c r="R47" s="152">
        <f t="shared" si="2"/>
        <v>5</v>
      </c>
      <c r="S47" s="152">
        <f t="shared" si="3"/>
        <v>1</v>
      </c>
      <c r="T47" s="152">
        <f t="shared" si="4"/>
        <v>0</v>
      </c>
      <c r="U47" s="152">
        <f>J14+L17+L21+L25+J30+L32+J38</f>
        <v>8</v>
      </c>
      <c r="V47" s="152">
        <f>L14+J17+J21+J25+L30+J32+L38</f>
        <v>2</v>
      </c>
      <c r="W47" s="152">
        <f>Q14+R17+R21+R25+Q30+R32+Q38</f>
        <v>11</v>
      </c>
      <c r="X47" s="129">
        <f t="shared" si="1"/>
        <v>2</v>
      </c>
    </row>
    <row r="48" spans="1:24" ht="18.75" customHeight="1" x14ac:dyDescent="0.3">
      <c r="A48" s="154" t="str">
        <f>IF(Scholen!$R$17&lt;&gt;"",Scholen!$R$17,"")</f>
        <v>Tuin J2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3</v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18</v>
      </c>
      <c r="Q48" s="152">
        <f t="shared" si="0"/>
        <v>6</v>
      </c>
      <c r="R48" s="152">
        <f t="shared" si="2"/>
        <v>6</v>
      </c>
      <c r="S48" s="152">
        <f t="shared" si="3"/>
        <v>0</v>
      </c>
      <c r="T48" s="152">
        <f t="shared" si="4"/>
        <v>0</v>
      </c>
      <c r="U48" s="152">
        <f>L14+J18+L22+L26+L28+J31+J35</f>
        <v>17</v>
      </c>
      <c r="V48" s="152">
        <f>J14+L18+J22+J26+J28+L31+L35</f>
        <v>0</v>
      </c>
      <c r="W48" s="152">
        <f>+R14+Q18+R22+R26+R28+Q31+Q35</f>
        <v>11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AB62-5259-46D9-BF7A-EC41AA751C98}">
  <sheetPr codeName="Blad12"/>
  <dimension ref="A1:X48"/>
  <sheetViews>
    <sheetView topLeftCell="A24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Scholen!$B$22</f>
        <v>Jongens</v>
      </c>
      <c r="F8" s="81"/>
      <c r="G8" s="81"/>
      <c r="H8" s="82" t="s">
        <v>1</v>
      </c>
      <c r="I8" s="83" t="s">
        <v>89</v>
      </c>
      <c r="J8" s="81" t="s">
        <v>11</v>
      </c>
      <c r="K8" s="84">
        <f>Scholen!$C$21</f>
        <v>10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Galjoen J1</v>
      </c>
      <c r="F11" s="107"/>
      <c r="G11" s="104" t="s">
        <v>294</v>
      </c>
      <c r="H11" s="107" t="str">
        <f>$A$42</f>
        <v>DSV J2</v>
      </c>
      <c r="I11" s="108"/>
      <c r="J11" s="109">
        <v>3</v>
      </c>
      <c r="K11" s="110" t="s">
        <v>294</v>
      </c>
      <c r="L11" s="111">
        <v>0</v>
      </c>
      <c r="M11" s="112" t="str">
        <f>Scheids!$D$15</f>
        <v>Rien Beenen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J3</v>
      </c>
      <c r="F12" s="121"/>
      <c r="G12" s="118" t="s">
        <v>294</v>
      </c>
      <c r="H12" s="121" t="str">
        <f>$A$44</f>
        <v>Maria J4</v>
      </c>
      <c r="I12" s="122"/>
      <c r="J12" s="123">
        <v>1</v>
      </c>
      <c r="K12" s="124" t="s">
        <v>294</v>
      </c>
      <c r="L12" s="125">
        <v>0</v>
      </c>
      <c r="M12" s="126" t="str">
        <f>Scheids!$D$15</f>
        <v>Rien Beenen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Max J4</v>
      </c>
      <c r="F13" s="121"/>
      <c r="G13" s="118" t="s">
        <v>294</v>
      </c>
      <c r="H13" s="121" t="str">
        <f>$A$46</f>
        <v>Freinet J2</v>
      </c>
      <c r="I13" s="122"/>
      <c r="J13" s="123">
        <v>0</v>
      </c>
      <c r="K13" s="124" t="s">
        <v>294</v>
      </c>
      <c r="L13" s="125">
        <v>0</v>
      </c>
      <c r="M13" s="126" t="str">
        <f>Scheids!$D$15</f>
        <v>Rien Beenen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Eglantier-V J1</v>
      </c>
      <c r="F14" s="121"/>
      <c r="G14" s="118" t="s">
        <v>294</v>
      </c>
      <c r="H14" s="121" t="str">
        <f>$A$48</f>
        <v>Cornelis J1</v>
      </c>
      <c r="I14" s="122"/>
      <c r="J14" s="123">
        <v>1</v>
      </c>
      <c r="K14" s="124" t="s">
        <v>294</v>
      </c>
      <c r="L14" s="125">
        <v>0</v>
      </c>
      <c r="M14" s="126" t="str">
        <f>Scheids!$F$15</f>
        <v>Anita Schouten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DSV J2</v>
      </c>
      <c r="F15" s="121"/>
      <c r="G15" s="118" t="s">
        <v>294</v>
      </c>
      <c r="H15" s="121" t="str">
        <f>$A$43</f>
        <v>Mozaïek J3</v>
      </c>
      <c r="I15" s="122"/>
      <c r="J15" s="123">
        <v>1</v>
      </c>
      <c r="K15" s="124" t="s">
        <v>294</v>
      </c>
      <c r="L15" s="125">
        <v>0</v>
      </c>
      <c r="M15" s="126" t="str">
        <f>Scheids!$F$15</f>
        <v>Anita Schouten</v>
      </c>
      <c r="N15" s="127"/>
      <c r="O15" s="128"/>
      <c r="Q15" s="129">
        <v>2</v>
      </c>
      <c r="R15" s="129">
        <v>0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J4</v>
      </c>
      <c r="F16" s="121"/>
      <c r="G16" s="118" t="s">
        <v>294</v>
      </c>
      <c r="H16" s="121" t="str">
        <f>$A$45</f>
        <v>Max J4</v>
      </c>
      <c r="I16" s="122"/>
      <c r="J16" s="123">
        <v>0</v>
      </c>
      <c r="K16" s="124" t="s">
        <v>294</v>
      </c>
      <c r="L16" s="125">
        <v>1</v>
      </c>
      <c r="M16" s="126" t="str">
        <f>Scheids!$F$15</f>
        <v>Anita Schouten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Freinet J2</v>
      </c>
      <c r="F17" s="121"/>
      <c r="G17" s="118" t="s">
        <v>294</v>
      </c>
      <c r="H17" s="121" t="str">
        <f>$A$47</f>
        <v>Eglantier-V J1</v>
      </c>
      <c r="I17" s="122"/>
      <c r="J17" s="123">
        <v>1</v>
      </c>
      <c r="K17" s="124" t="s">
        <v>294</v>
      </c>
      <c r="L17" s="125">
        <v>0</v>
      </c>
      <c r="M17" s="126" t="str">
        <f>Scheids!$D$15</f>
        <v>Rien Beenen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Cornelis J1</v>
      </c>
      <c r="F18" s="121"/>
      <c r="G18" s="118" t="s">
        <v>294</v>
      </c>
      <c r="H18" s="121" t="str">
        <f>$A$41</f>
        <v>Galjoen J1</v>
      </c>
      <c r="I18" s="122"/>
      <c r="J18" s="123">
        <v>0</v>
      </c>
      <c r="K18" s="124" t="s">
        <v>294</v>
      </c>
      <c r="L18" s="125">
        <v>4</v>
      </c>
      <c r="M18" s="126" t="str">
        <f>Scheids!$D$15</f>
        <v>Rien Beenen</v>
      </c>
      <c r="N18" s="127"/>
      <c r="O18" s="128"/>
      <c r="Q18" s="129">
        <v>0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J4</v>
      </c>
      <c r="F19" s="121"/>
      <c r="G19" s="118" t="s">
        <v>294</v>
      </c>
      <c r="H19" s="121" t="str">
        <f>$A$42</f>
        <v>DSV J2</v>
      </c>
      <c r="I19" s="122"/>
      <c r="J19" s="123">
        <v>1</v>
      </c>
      <c r="K19" s="124" t="s">
        <v>294</v>
      </c>
      <c r="L19" s="125">
        <v>1</v>
      </c>
      <c r="M19" s="126" t="str">
        <f>Scheids!$D$15</f>
        <v>Rien Beenen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J3</v>
      </c>
      <c r="F20" s="121"/>
      <c r="G20" s="118" t="s">
        <v>294</v>
      </c>
      <c r="H20" s="121" t="str">
        <f>$A$45</f>
        <v>Max J4</v>
      </c>
      <c r="I20" s="122"/>
      <c r="J20" s="123">
        <v>0</v>
      </c>
      <c r="K20" s="124" t="s">
        <v>294</v>
      </c>
      <c r="L20" s="125">
        <v>0</v>
      </c>
      <c r="M20" s="126" t="str">
        <f>Scheids!$F$15</f>
        <v>Anita Schouten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Galjoen J1</v>
      </c>
      <c r="F21" s="121"/>
      <c r="G21" s="118" t="s">
        <v>294</v>
      </c>
      <c r="H21" s="121" t="str">
        <f>$A$47</f>
        <v>Eglantier-V J1</v>
      </c>
      <c r="I21" s="122"/>
      <c r="J21" s="123">
        <v>1</v>
      </c>
      <c r="K21" s="124" t="s">
        <v>294</v>
      </c>
      <c r="L21" s="125">
        <v>0</v>
      </c>
      <c r="M21" s="126" t="str">
        <f>Scheids!$F$15</f>
        <v>Anita Schouten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Freinet J2</v>
      </c>
      <c r="F22" s="121"/>
      <c r="G22" s="118" t="s">
        <v>294</v>
      </c>
      <c r="H22" s="121" t="str">
        <f>$A$48</f>
        <v>Cornelis J1</v>
      </c>
      <c r="I22" s="122"/>
      <c r="J22" s="123">
        <v>0</v>
      </c>
      <c r="K22" s="124" t="s">
        <v>294</v>
      </c>
      <c r="L22" s="125">
        <v>0</v>
      </c>
      <c r="M22" s="126" t="str">
        <f>Scheids!$F$15</f>
        <v>Anita Schouten</v>
      </c>
      <c r="N22" s="127"/>
      <c r="O22" s="128"/>
      <c r="Q22" s="129">
        <v>2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Galjoen J1</v>
      </c>
      <c r="F23" s="121"/>
      <c r="G23" s="118" t="s">
        <v>294</v>
      </c>
      <c r="H23" s="121" t="str">
        <f>$A$43</f>
        <v>Mozaïek J3</v>
      </c>
      <c r="I23" s="122"/>
      <c r="J23" s="123">
        <v>2</v>
      </c>
      <c r="K23" s="124" t="s">
        <v>294</v>
      </c>
      <c r="L23" s="125">
        <v>0</v>
      </c>
      <c r="M23" s="126" t="str">
        <f>Scheids!$D$15</f>
        <v>Rien Beenen</v>
      </c>
      <c r="N23" s="127"/>
      <c r="O23" s="128"/>
      <c r="Q23" s="129">
        <v>2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Freinet J2</v>
      </c>
      <c r="F24" s="121"/>
      <c r="G24" s="118" t="s">
        <v>294</v>
      </c>
      <c r="H24" s="121" t="str">
        <f>$A$44</f>
        <v>Maria J4</v>
      </c>
      <c r="I24" s="122"/>
      <c r="J24" s="123">
        <v>2</v>
      </c>
      <c r="K24" s="124" t="s">
        <v>294</v>
      </c>
      <c r="L24" s="125">
        <v>0</v>
      </c>
      <c r="M24" s="126" t="str">
        <f>Scheids!$D$15</f>
        <v>Rien Beenen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DSV J2</v>
      </c>
      <c r="F25" s="121"/>
      <c r="G25" s="118" t="s">
        <v>294</v>
      </c>
      <c r="H25" s="121" t="str">
        <f>$A$47</f>
        <v>Eglantier-V J1</v>
      </c>
      <c r="I25" s="122"/>
      <c r="J25" s="123">
        <v>0</v>
      </c>
      <c r="K25" s="124" t="s">
        <v>294</v>
      </c>
      <c r="L25" s="125">
        <v>1</v>
      </c>
      <c r="M25" s="126" t="str">
        <f>Scheids!$D$15</f>
        <v>Rien Beenen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Max J4</v>
      </c>
      <c r="F26" s="121"/>
      <c r="G26" s="118" t="s">
        <v>294</v>
      </c>
      <c r="H26" s="121" t="str">
        <f>$A$48</f>
        <v>Cornelis J1</v>
      </c>
      <c r="I26" s="122"/>
      <c r="J26" s="123">
        <v>1</v>
      </c>
      <c r="K26" s="124" t="s">
        <v>294</v>
      </c>
      <c r="L26" s="125">
        <v>0</v>
      </c>
      <c r="M26" s="126" t="str">
        <f>Scheids!$F$15</f>
        <v>Anita Schouten</v>
      </c>
      <c r="N26" s="127"/>
      <c r="O26" s="128"/>
      <c r="Q26" s="129">
        <v>2</v>
      </c>
      <c r="R26" s="129">
        <v>2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J3</v>
      </c>
      <c r="F27" s="121"/>
      <c r="G27" s="118" t="s">
        <v>294</v>
      </c>
      <c r="H27" s="121" t="str">
        <f>$A$46</f>
        <v>Freinet J2</v>
      </c>
      <c r="I27" s="122"/>
      <c r="J27" s="123">
        <v>1</v>
      </c>
      <c r="K27" s="124" t="s">
        <v>294</v>
      </c>
      <c r="L27" s="125">
        <v>0</v>
      </c>
      <c r="M27" s="126" t="str">
        <f>Scheids!$F$15</f>
        <v>Anita Schouten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DSV J2</v>
      </c>
      <c r="F28" s="121"/>
      <c r="G28" s="118" t="s">
        <v>294</v>
      </c>
      <c r="H28" s="121" t="str">
        <f>$A$48</f>
        <v>Cornelis J1</v>
      </c>
      <c r="I28" s="122"/>
      <c r="J28" s="123">
        <v>0</v>
      </c>
      <c r="K28" s="124" t="s">
        <v>294</v>
      </c>
      <c r="L28" s="125">
        <v>0</v>
      </c>
      <c r="M28" s="126" t="str">
        <f>Scheids!$F$15</f>
        <v>Anita Schouten</v>
      </c>
      <c r="N28" s="127"/>
      <c r="O28" s="128"/>
      <c r="Q28" s="129">
        <v>2</v>
      </c>
      <c r="R28" s="129">
        <v>2</v>
      </c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J4</v>
      </c>
      <c r="F29" s="121"/>
      <c r="G29" s="118" t="s">
        <v>294</v>
      </c>
      <c r="H29" s="121" t="str">
        <f>$A$41</f>
        <v>Galjoen J1</v>
      </c>
      <c r="I29" s="122"/>
      <c r="J29" s="123">
        <v>1</v>
      </c>
      <c r="K29" s="124" t="s">
        <v>294</v>
      </c>
      <c r="L29" s="125">
        <v>1</v>
      </c>
      <c r="M29" s="126" t="str">
        <f>Scheids!$D$15</f>
        <v>Rien Beenen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Eglantier-V J1</v>
      </c>
      <c r="F30" s="121"/>
      <c r="G30" s="118" t="s">
        <v>294</v>
      </c>
      <c r="H30" s="121" t="str">
        <f>$A$45</f>
        <v>Max J4</v>
      </c>
      <c r="I30" s="122"/>
      <c r="J30" s="123">
        <v>0</v>
      </c>
      <c r="K30" s="124" t="s">
        <v>294</v>
      </c>
      <c r="L30" s="125">
        <v>0</v>
      </c>
      <c r="M30" s="126" t="str">
        <f>Scheids!$D$15</f>
        <v>Rien Beenen</v>
      </c>
      <c r="N30" s="127"/>
      <c r="O30" s="128"/>
      <c r="Q30" s="129">
        <v>1</v>
      </c>
      <c r="R30" s="129">
        <v>2</v>
      </c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Cornelis J1</v>
      </c>
      <c r="F31" s="121"/>
      <c r="G31" s="118" t="s">
        <v>294</v>
      </c>
      <c r="H31" s="121" t="str">
        <f>$A$44</f>
        <v>Maria J4</v>
      </c>
      <c r="I31" s="122"/>
      <c r="J31" s="123">
        <v>0</v>
      </c>
      <c r="K31" s="124" t="s">
        <v>294</v>
      </c>
      <c r="L31" s="125">
        <v>5</v>
      </c>
      <c r="M31" s="126" t="str">
        <f>Scheids!$D$15</f>
        <v>Rien Beenen</v>
      </c>
      <c r="N31" s="127"/>
      <c r="O31" s="128"/>
      <c r="Q31" s="129">
        <v>0</v>
      </c>
      <c r="R31" s="129">
        <v>2</v>
      </c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J3</v>
      </c>
      <c r="F32" s="121"/>
      <c r="G32" s="118" t="s">
        <v>294</v>
      </c>
      <c r="H32" s="121" t="str">
        <f>$A$47</f>
        <v>Eglantier-V J1</v>
      </c>
      <c r="I32" s="122"/>
      <c r="J32" s="123">
        <v>0</v>
      </c>
      <c r="K32" s="124" t="s">
        <v>294</v>
      </c>
      <c r="L32" s="125">
        <v>1</v>
      </c>
      <c r="M32" s="126" t="str">
        <f>Scheids!$F$15</f>
        <v>Anita Schouten</v>
      </c>
      <c r="N32" s="127"/>
      <c r="O32" s="128"/>
      <c r="Q32" s="129">
        <v>2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DSV J2</v>
      </c>
      <c r="F33" s="121"/>
      <c r="G33" s="118" t="s">
        <v>294</v>
      </c>
      <c r="H33" s="121" t="str">
        <f>$A$46</f>
        <v>Freinet J2</v>
      </c>
      <c r="I33" s="122"/>
      <c r="J33" s="123">
        <v>0</v>
      </c>
      <c r="K33" s="124" t="s">
        <v>294</v>
      </c>
      <c r="L33" s="125">
        <v>0</v>
      </c>
      <c r="M33" s="126" t="str">
        <f>Scheids!$F$15</f>
        <v>Anita Schouten</v>
      </c>
      <c r="N33" s="127"/>
      <c r="O33" s="128"/>
      <c r="Q33" s="129">
        <v>2</v>
      </c>
      <c r="R33" s="129">
        <v>2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Galjoen J1</v>
      </c>
      <c r="F34" s="121"/>
      <c r="G34" s="118" t="s">
        <v>294</v>
      </c>
      <c r="H34" s="121" t="str">
        <f>$A$45</f>
        <v>Max J4</v>
      </c>
      <c r="I34" s="122"/>
      <c r="J34" s="123">
        <v>1</v>
      </c>
      <c r="K34" s="124" t="s">
        <v>294</v>
      </c>
      <c r="L34" s="125">
        <v>1</v>
      </c>
      <c r="M34" s="126" t="str">
        <f>Scheids!$F$15</f>
        <v>Anita Schouten</v>
      </c>
      <c r="N34" s="127"/>
      <c r="O34" s="128"/>
      <c r="Q34" s="129">
        <v>2</v>
      </c>
      <c r="R34" s="129">
        <v>2</v>
      </c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Cornelis J1</v>
      </c>
      <c r="F35" s="121"/>
      <c r="G35" s="118" t="s">
        <v>294</v>
      </c>
      <c r="H35" s="121" t="str">
        <f>$A$43</f>
        <v>Mozaïek J3</v>
      </c>
      <c r="I35" s="122"/>
      <c r="J35" s="123"/>
      <c r="K35" s="124" t="s">
        <v>294</v>
      </c>
      <c r="L35" s="125"/>
      <c r="M35" s="126" t="str">
        <f>Scheids!$D$15</f>
        <v>Rien Beenen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Freinet J2</v>
      </c>
      <c r="F36" s="121"/>
      <c r="G36" s="118" t="s">
        <v>294</v>
      </c>
      <c r="H36" s="121" t="str">
        <f>$A$41</f>
        <v>Galjoen J1</v>
      </c>
      <c r="I36" s="122"/>
      <c r="J36" s="123"/>
      <c r="K36" s="124" t="s">
        <v>294</v>
      </c>
      <c r="L36" s="125"/>
      <c r="M36" s="126" t="str">
        <f>Scheids!$D$15</f>
        <v>Rien Beenen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Max J4</v>
      </c>
      <c r="F37" s="121"/>
      <c r="G37" s="118" t="s">
        <v>294</v>
      </c>
      <c r="H37" s="121" t="str">
        <f>$A$42</f>
        <v>DSV J2</v>
      </c>
      <c r="I37" s="122"/>
      <c r="J37" s="123"/>
      <c r="K37" s="124" t="s">
        <v>294</v>
      </c>
      <c r="L37" s="125"/>
      <c r="M37" s="126" t="str">
        <f>Scheids!$F$15</f>
        <v>Anita Schouten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Eglantier-V J1</v>
      </c>
      <c r="F38" s="136"/>
      <c r="G38" s="133" t="s">
        <v>294</v>
      </c>
      <c r="H38" s="136" t="str">
        <f>$A$44</f>
        <v>Maria J4</v>
      </c>
      <c r="I38" s="137"/>
      <c r="J38" s="138"/>
      <c r="K38" s="139" t="s">
        <v>294</v>
      </c>
      <c r="L38" s="140"/>
      <c r="M38" s="141" t="str">
        <f>Scheids!$F$15</f>
        <v>Anita Schouten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Scholen!$B$24</f>
        <v>Galjoen J1</v>
      </c>
      <c r="B41" s="155"/>
      <c r="C41" s="155"/>
      <c r="D41" s="156"/>
      <c r="E41" s="157">
        <f>IF(AND($J$11&lt;&gt;"", $L$11&lt;&gt;""),IF($J$11&gt;$L$11,3,IF($J$11=$L$11,1,0)),"")</f>
        <v>3</v>
      </c>
      <c r="F41" s="157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14</v>
      </c>
      <c r="Q41" s="152">
        <f t="shared" ref="Q41:Q48" si="0">COUNT(E41:N41)</f>
        <v>6</v>
      </c>
      <c r="R41" s="152">
        <f>COUNTIFS(E41:N41,3)</f>
        <v>4</v>
      </c>
      <c r="S41" s="152">
        <f>COUNTIFS(E41:N41,0)</f>
        <v>0</v>
      </c>
      <c r="T41" s="152">
        <f>COUNTIFS(E41:N41,1)</f>
        <v>2</v>
      </c>
      <c r="U41" s="152">
        <f>J11+L18+J21+J23+L29+J34+L36</f>
        <v>12</v>
      </c>
      <c r="V41" s="152">
        <f>L11+J18+L21+L23+J29+L34+J36</f>
        <v>2</v>
      </c>
      <c r="W41" s="152">
        <f>Q11+R18+Q21+Q23+R29+Q34+R36</f>
        <v>12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Scholen!$B$25</f>
        <v>DSV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0</v>
      </c>
      <c r="J42" s="158"/>
      <c r="K42" s="156">
        <f>IF(AND($J$28&lt;&gt;"",$L$28&lt;&gt;""),IF($J$28&gt;$L$28,3,IF($J$28=$L$28,1,0)),"")</f>
        <v>1</v>
      </c>
      <c r="L42" s="158"/>
      <c r="M42" s="156">
        <f>IF(AND($J$33&lt;&gt;"",$L$33&lt;&gt;""),IF($J$33&gt;$L$33,3,IF($J$33=$L$33,1,0)),"")</f>
        <v>1</v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2">COUNTIFS(E42:N42,3)</f>
        <v>1</v>
      </c>
      <c r="S42" s="152">
        <f t="shared" ref="S42:S48" si="3">COUNTIFS(E42:N42,0)</f>
        <v>2</v>
      </c>
      <c r="T42" s="152">
        <f t="shared" ref="T42:T48" si="4">COUNTIFS(E42:N42,1)</f>
        <v>3</v>
      </c>
      <c r="U42" s="152">
        <f>L11+J15+L19+J25+J28+J33+L37</f>
        <v>2</v>
      </c>
      <c r="V42" s="152">
        <f>J11+L15+J19+L25+L28+L33+J37</f>
        <v>5</v>
      </c>
      <c r="W42" s="152">
        <f>R11+Q15+R19+Q25+Q28+Q33+R37</f>
        <v>11</v>
      </c>
      <c r="X42" s="129">
        <f t="shared" si="1"/>
        <v>6</v>
      </c>
    </row>
    <row r="43" spans="1:24" ht="18.75" customHeight="1" x14ac:dyDescent="0.3">
      <c r="A43" s="154" t="str">
        <f>Scholen!$B$26</f>
        <v>Mozaïek J3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0</v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7</v>
      </c>
      <c r="Q43" s="152">
        <f t="shared" si="0"/>
        <v>6</v>
      </c>
      <c r="R43" s="152">
        <f t="shared" si="2"/>
        <v>2</v>
      </c>
      <c r="S43" s="152">
        <f t="shared" si="3"/>
        <v>3</v>
      </c>
      <c r="T43" s="152">
        <f t="shared" si="4"/>
        <v>1</v>
      </c>
      <c r="U43" s="152">
        <f>J12+L15+J20+L23+J27+J32+L35</f>
        <v>2</v>
      </c>
      <c r="V43" s="152">
        <f>L12+J15+L20+J23+L27+L32+J35</f>
        <v>4</v>
      </c>
      <c r="W43" s="152">
        <f>Q12+R15+Q20+R23+Q27+Q32+R35</f>
        <v>8</v>
      </c>
      <c r="X43" s="129">
        <f t="shared" si="1"/>
        <v>5</v>
      </c>
    </row>
    <row r="44" spans="1:24" ht="18.75" customHeight="1" x14ac:dyDescent="0.3">
      <c r="A44" s="161" t="str">
        <f>Scholen!$B$27</f>
        <v>Maria J4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1</v>
      </c>
      <c r="L44" s="158"/>
      <c r="M44" s="156">
        <f>IF(AND($J$31&lt;&gt;"",$L$31&lt;&gt;""),IF($J$31&lt;$L$31,3,IF($J$31=$L$31,1,0)),"")</f>
        <v>3</v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5</v>
      </c>
      <c r="Q44" s="152">
        <f t="shared" si="0"/>
        <v>6</v>
      </c>
      <c r="R44" s="152">
        <f t="shared" si="2"/>
        <v>1</v>
      </c>
      <c r="S44" s="152">
        <f t="shared" si="3"/>
        <v>3</v>
      </c>
      <c r="T44" s="152">
        <f t="shared" si="4"/>
        <v>2</v>
      </c>
      <c r="U44" s="152">
        <f>L12+J16+J19+L24+J29+L31+L38</f>
        <v>7</v>
      </c>
      <c r="V44" s="152">
        <f>J12+L16+L19+J24+L29+J31+J38</f>
        <v>6</v>
      </c>
      <c r="W44" s="152">
        <f>R12+Q16+Q19+R24+Q29+R31+R38</f>
        <v>12</v>
      </c>
      <c r="X44" s="129">
        <f t="shared" si="1"/>
        <v>7</v>
      </c>
    </row>
    <row r="45" spans="1:24" ht="18.75" customHeight="1" x14ac:dyDescent="0.3">
      <c r="A45" s="154" t="str">
        <f>Scholen!$B$28</f>
        <v>Max J4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1</v>
      </c>
      <c r="I45" s="163">
        <f>IF(AND($J$26&lt;&gt;"",$L$26&lt;&gt;""),IF($J$26&gt;$L$26,3,IF($J$26=$L$26,1,0)),"")</f>
        <v>3</v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10</v>
      </c>
      <c r="Q45" s="152">
        <f t="shared" si="0"/>
        <v>6</v>
      </c>
      <c r="R45" s="152">
        <f t="shared" si="2"/>
        <v>2</v>
      </c>
      <c r="S45" s="152">
        <f t="shared" si="3"/>
        <v>0</v>
      </c>
      <c r="T45" s="152">
        <f t="shared" si="4"/>
        <v>4</v>
      </c>
      <c r="U45" s="152">
        <f>J13+L16+L20+J26+L30+L34+J37</f>
        <v>3</v>
      </c>
      <c r="V45" s="152">
        <f>L13+J16+J20+L26+J30+J34+L37</f>
        <v>1</v>
      </c>
      <c r="W45" s="152">
        <f>Q13+R16+R20+Q26+R30+R34+Q37</f>
        <v>11</v>
      </c>
      <c r="X45" s="129">
        <f t="shared" si="1"/>
        <v>2</v>
      </c>
    </row>
    <row r="46" spans="1:24" ht="18.75" customHeight="1" x14ac:dyDescent="0.3">
      <c r="A46" s="154" t="str">
        <f>Scholen!$B$29</f>
        <v>Freinet J2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3</v>
      </c>
      <c r="G46" s="158"/>
      <c r="H46" s="156">
        <f>IF(AND($J$22&lt;&gt;"",$L$22&lt;&gt;""),IF($J$22&gt;$L$22,3,IF($J$22=$L$22,1,0)),"")</f>
        <v>1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1</v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9</v>
      </c>
      <c r="Q46" s="152">
        <f t="shared" si="0"/>
        <v>6</v>
      </c>
      <c r="R46" s="152">
        <f t="shared" si="2"/>
        <v>2</v>
      </c>
      <c r="S46" s="152">
        <f t="shared" si="3"/>
        <v>1</v>
      </c>
      <c r="T46" s="152">
        <f t="shared" si="4"/>
        <v>3</v>
      </c>
      <c r="U46" s="152">
        <f>L13+J17+J22+J24+L27+L33+J36</f>
        <v>3</v>
      </c>
      <c r="V46" s="152">
        <f>J13+L17+L22+L24+J27+J33+L36</f>
        <v>1</v>
      </c>
      <c r="W46" s="152">
        <f>R13+Q17+Q22+Q24+R27+R33+Q36</f>
        <v>10</v>
      </c>
      <c r="X46" s="129">
        <f t="shared" si="1"/>
        <v>4</v>
      </c>
    </row>
    <row r="47" spans="1:24" ht="18.75" customHeight="1" x14ac:dyDescent="0.3">
      <c r="A47" s="154" t="str">
        <f>IF(Scholen!$B$30&lt;&gt;"",Scholen!$B$30,"")</f>
        <v>Eglantier-V J1</v>
      </c>
      <c r="B47" s="155"/>
      <c r="C47" s="155"/>
      <c r="D47" s="156"/>
      <c r="E47" s="157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3</v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10</v>
      </c>
      <c r="Q47" s="152">
        <f t="shared" si="0"/>
        <v>6</v>
      </c>
      <c r="R47" s="152">
        <f t="shared" si="2"/>
        <v>3</v>
      </c>
      <c r="S47" s="152">
        <f t="shared" si="3"/>
        <v>2</v>
      </c>
      <c r="T47" s="152">
        <f t="shared" si="4"/>
        <v>1</v>
      </c>
      <c r="U47" s="152">
        <f>J14+L17+L21+L25+J30+L32+J38</f>
        <v>3</v>
      </c>
      <c r="V47" s="152">
        <f>L14+J17+J21+J25+L30+J32+L38</f>
        <v>2</v>
      </c>
      <c r="W47" s="152">
        <f>Q14+R17+R21+R25+Q30+R32+Q38</f>
        <v>9</v>
      </c>
      <c r="X47" s="129">
        <f t="shared" si="1"/>
        <v>2</v>
      </c>
    </row>
    <row r="48" spans="1:24" ht="18.75" customHeight="1" x14ac:dyDescent="0.3">
      <c r="A48" s="154" t="str">
        <f>IF(Scholen!$B$31&lt;&gt;"",Scholen!$B$31,"")</f>
        <v>Cornelis J1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1</v>
      </c>
      <c r="I48" s="165">
        <f>IF(AND($J$26&lt;&gt;"",$L$26&lt;&gt;""),IF($J$26&lt;$L$26,3,IF($J$26=$L$26,1,0)),"")</f>
        <v>0</v>
      </c>
      <c r="J48" s="141"/>
      <c r="K48" s="143">
        <f>IF(AND($J$28&lt;&gt;"",$L$28&lt;&gt;""),IF($J$28&lt;$L$28,3,IF($J$28=$L$28,1,0)),"")</f>
        <v>1</v>
      </c>
      <c r="L48" s="141"/>
      <c r="M48" s="142">
        <f>IF(AND($J$31&lt;&gt;"",$L$31&lt;&gt;""),IF($J$31&gt;$L$31,3,IF($J$31=$L$31,1,0)),"")</f>
        <v>0</v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2</v>
      </c>
      <c r="Q48" s="152">
        <f t="shared" si="0"/>
        <v>6</v>
      </c>
      <c r="R48" s="152">
        <f t="shared" si="2"/>
        <v>0</v>
      </c>
      <c r="S48" s="152">
        <f t="shared" si="3"/>
        <v>4</v>
      </c>
      <c r="T48" s="152">
        <f t="shared" si="4"/>
        <v>2</v>
      </c>
      <c r="U48" s="152">
        <f>L14+J18+L22+L26+L28+J31+J35</f>
        <v>0</v>
      </c>
      <c r="V48" s="152">
        <f>J14+L18+J22+J26+J28+L31+L35</f>
        <v>11</v>
      </c>
      <c r="W48" s="152">
        <f>+R14+Q18+R22+R26+R28+Q31+Q35</f>
        <v>8</v>
      </c>
      <c r="X48" s="129">
        <f t="shared" si="1"/>
        <v>8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158D5-5D0E-4ED6-B2C9-A6F57966E02E}">
  <sheetPr codeName="Blad13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Scholen!$D$22</f>
        <v>Jongens</v>
      </c>
      <c r="F8" s="81"/>
      <c r="G8" s="81"/>
      <c r="H8" s="82" t="s">
        <v>1</v>
      </c>
      <c r="I8" s="83" t="s">
        <v>90</v>
      </c>
      <c r="J8" s="81" t="s">
        <v>11</v>
      </c>
      <c r="K8" s="84">
        <f>Scholen!$E$21</f>
        <v>11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Bonte Pael J1</v>
      </c>
      <c r="F11" s="107"/>
      <c r="G11" s="104" t="s">
        <v>294</v>
      </c>
      <c r="H11" s="107" t="str">
        <f>$A$42</f>
        <v>Gabriël J2</v>
      </c>
      <c r="I11" s="108"/>
      <c r="J11" s="109">
        <v>0</v>
      </c>
      <c r="K11" s="110" t="s">
        <v>294</v>
      </c>
      <c r="L11" s="111">
        <v>5</v>
      </c>
      <c r="M11" s="112" t="str">
        <f>Scheids!$D$16</f>
        <v>Diana Schouten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J2</v>
      </c>
      <c r="F12" s="121"/>
      <c r="G12" s="118" t="s">
        <v>294</v>
      </c>
      <c r="H12" s="121" t="str">
        <f>$A$44</f>
        <v>BMS J3</v>
      </c>
      <c r="I12" s="122"/>
      <c r="J12" s="123">
        <v>0</v>
      </c>
      <c r="K12" s="124" t="s">
        <v>294</v>
      </c>
      <c r="L12" s="125">
        <v>1</v>
      </c>
      <c r="M12" s="126" t="str">
        <f>Scheids!$D$16</f>
        <v>Diana Schouten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J5</v>
      </c>
      <c r="F13" s="121"/>
      <c r="G13" s="118" t="s">
        <v>294</v>
      </c>
      <c r="H13" s="121" t="str">
        <f>$A$46</f>
        <v>Max J5</v>
      </c>
      <c r="I13" s="122"/>
      <c r="J13" s="123">
        <v>5</v>
      </c>
      <c r="K13" s="124" t="s">
        <v>294</v>
      </c>
      <c r="L13" s="125">
        <v>0</v>
      </c>
      <c r="M13" s="126" t="str">
        <f>Scheids!$D$16</f>
        <v>Diana Schouten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J2</v>
      </c>
      <c r="F15" s="121"/>
      <c r="G15" s="118" t="s">
        <v>294</v>
      </c>
      <c r="H15" s="121" t="str">
        <f>$A$43</f>
        <v>Maurits J2</v>
      </c>
      <c r="I15" s="122"/>
      <c r="J15" s="123">
        <v>4</v>
      </c>
      <c r="K15" s="124" t="s">
        <v>294</v>
      </c>
      <c r="L15" s="125">
        <v>0</v>
      </c>
      <c r="M15" s="126" t="str">
        <f>Scheids!$F$16</f>
        <v>Frank Maat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J3</v>
      </c>
      <c r="F16" s="121"/>
      <c r="G16" s="118" t="s">
        <v>294</v>
      </c>
      <c r="H16" s="121" t="str">
        <f>$A$45</f>
        <v>Maria J5</v>
      </c>
      <c r="I16" s="122"/>
      <c r="J16" s="123">
        <v>0</v>
      </c>
      <c r="K16" s="124" t="s">
        <v>294</v>
      </c>
      <c r="L16" s="125">
        <v>1</v>
      </c>
      <c r="M16" s="126" t="str">
        <f>Scheids!$F$16</f>
        <v>Frank Maat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Max J5</v>
      </c>
      <c r="F17" s="121"/>
      <c r="G17" s="118" t="s">
        <v>294</v>
      </c>
      <c r="H17" s="121" t="str">
        <f>$A$47</f>
        <v>Waterhof J1</v>
      </c>
      <c r="I17" s="122"/>
      <c r="J17" s="123">
        <v>3</v>
      </c>
      <c r="K17" s="124" t="s">
        <v>294</v>
      </c>
      <c r="L17" s="125">
        <v>1</v>
      </c>
      <c r="M17" s="126" t="str">
        <f>Scheids!$F$16</f>
        <v>Frank Maat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J3</v>
      </c>
      <c r="F19" s="121"/>
      <c r="G19" s="118" t="s">
        <v>294</v>
      </c>
      <c r="H19" s="121" t="str">
        <f>$A$42</f>
        <v>Gabriël J2</v>
      </c>
      <c r="I19" s="122"/>
      <c r="J19" s="123">
        <v>0</v>
      </c>
      <c r="K19" s="124" t="s">
        <v>294</v>
      </c>
      <c r="L19" s="125">
        <v>1</v>
      </c>
      <c r="M19" s="126" t="str">
        <f>Scheids!$D$16</f>
        <v>Diana Schouten</v>
      </c>
      <c r="N19" s="127"/>
      <c r="O19" s="128"/>
      <c r="Q19" s="129">
        <v>2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J2</v>
      </c>
      <c r="F20" s="121"/>
      <c r="G20" s="118" t="s">
        <v>294</v>
      </c>
      <c r="H20" s="121" t="str">
        <f>$A$45</f>
        <v>Maria J5</v>
      </c>
      <c r="I20" s="122"/>
      <c r="J20" s="123">
        <v>0</v>
      </c>
      <c r="K20" s="124" t="s">
        <v>294</v>
      </c>
      <c r="L20" s="125">
        <v>4</v>
      </c>
      <c r="M20" s="126" t="str">
        <f>Scheids!$D$16</f>
        <v>Diana Schouten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Bonte Pael J1</v>
      </c>
      <c r="F21" s="121"/>
      <c r="G21" s="118" t="s">
        <v>294</v>
      </c>
      <c r="H21" s="121" t="str">
        <f>$A$47</f>
        <v>Waterhof J1</v>
      </c>
      <c r="I21" s="122"/>
      <c r="J21" s="123">
        <v>0</v>
      </c>
      <c r="K21" s="124" t="s">
        <v>294</v>
      </c>
      <c r="L21" s="125">
        <v>3</v>
      </c>
      <c r="M21" s="126" t="str">
        <f>Scheids!$D$16</f>
        <v>Diana Schouten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Bonte Pael J1</v>
      </c>
      <c r="F23" s="121"/>
      <c r="G23" s="118" t="s">
        <v>294</v>
      </c>
      <c r="H23" s="121" t="str">
        <f>$A$43</f>
        <v>Maurits J2</v>
      </c>
      <c r="I23" s="122"/>
      <c r="J23" s="123">
        <v>1</v>
      </c>
      <c r="K23" s="124" t="s">
        <v>294</v>
      </c>
      <c r="L23" s="125">
        <v>1</v>
      </c>
      <c r="M23" s="126" t="str">
        <f>Scheids!$F$16</f>
        <v>Frank Maat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Max J5</v>
      </c>
      <c r="F24" s="121"/>
      <c r="G24" s="118" t="s">
        <v>294</v>
      </c>
      <c r="H24" s="121" t="str">
        <f>$A$44</f>
        <v>BMS J3</v>
      </c>
      <c r="I24" s="122"/>
      <c r="J24" s="123">
        <v>0</v>
      </c>
      <c r="K24" s="124" t="s">
        <v>294</v>
      </c>
      <c r="L24" s="125">
        <v>5</v>
      </c>
      <c r="M24" s="126" t="str">
        <f>Scheids!$F$16</f>
        <v>Frank Maat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J2</v>
      </c>
      <c r="F25" s="121"/>
      <c r="G25" s="118" t="s">
        <v>294</v>
      </c>
      <c r="H25" s="121" t="str">
        <f>$A$47</f>
        <v>Waterhof J1</v>
      </c>
      <c r="I25" s="122"/>
      <c r="J25" s="123">
        <v>2</v>
      </c>
      <c r="K25" s="124" t="s">
        <v>294</v>
      </c>
      <c r="L25" s="125">
        <v>0</v>
      </c>
      <c r="M25" s="126" t="str">
        <f>Scheids!$F$16</f>
        <v>Frank Maat</v>
      </c>
      <c r="N25" s="127"/>
      <c r="O25" s="128"/>
      <c r="Q25" s="129">
        <v>0</v>
      </c>
      <c r="R25" s="129">
        <v>0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J2</v>
      </c>
      <c r="F27" s="121"/>
      <c r="G27" s="118" t="s">
        <v>294</v>
      </c>
      <c r="H27" s="121" t="str">
        <f>$A$46</f>
        <v>Max J5</v>
      </c>
      <c r="I27" s="122"/>
      <c r="J27" s="123">
        <v>0</v>
      </c>
      <c r="K27" s="124" t="s">
        <v>294</v>
      </c>
      <c r="L27" s="125">
        <v>2</v>
      </c>
      <c r="M27" s="126" t="str">
        <f>Scheids!$D$16</f>
        <v>Diana Schouten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J3</v>
      </c>
      <c r="F29" s="121"/>
      <c r="G29" s="118" t="s">
        <v>294</v>
      </c>
      <c r="H29" s="121" t="str">
        <f>$A$41</f>
        <v>Bonte Pael J1</v>
      </c>
      <c r="I29" s="122"/>
      <c r="J29" s="123">
        <v>1</v>
      </c>
      <c r="K29" s="124" t="s">
        <v>294</v>
      </c>
      <c r="L29" s="125">
        <v>0</v>
      </c>
      <c r="M29" s="126" t="str">
        <f>Scheids!$D$16</f>
        <v>Diana Schouten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J1</v>
      </c>
      <c r="F30" s="121"/>
      <c r="G30" s="118" t="s">
        <v>294</v>
      </c>
      <c r="H30" s="121" t="str">
        <f>$A$45</f>
        <v>Maria J5</v>
      </c>
      <c r="I30" s="122"/>
      <c r="J30" s="123">
        <v>0</v>
      </c>
      <c r="K30" s="124" t="s">
        <v>294</v>
      </c>
      <c r="L30" s="125">
        <v>4</v>
      </c>
      <c r="M30" s="126" t="str">
        <f>Scheids!$D$16</f>
        <v>Diana Schouten</v>
      </c>
      <c r="N30" s="127"/>
      <c r="O30" s="128"/>
      <c r="Q30" s="129">
        <v>1</v>
      </c>
      <c r="R30" s="129">
        <v>1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J2</v>
      </c>
      <c r="F32" s="121"/>
      <c r="G32" s="118" t="s">
        <v>294</v>
      </c>
      <c r="H32" s="121" t="str">
        <f>$A$47</f>
        <v>Waterhof J1</v>
      </c>
      <c r="I32" s="122"/>
      <c r="J32" s="123">
        <v>0</v>
      </c>
      <c r="K32" s="124" t="s">
        <v>294</v>
      </c>
      <c r="L32" s="125">
        <v>2</v>
      </c>
      <c r="M32" s="126" t="str">
        <f>Scheids!$F$16</f>
        <v>Frank Maat</v>
      </c>
      <c r="N32" s="127"/>
      <c r="O32" s="128"/>
      <c r="Q32" s="129">
        <v>2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J2</v>
      </c>
      <c r="F33" s="121"/>
      <c r="G33" s="118" t="s">
        <v>294</v>
      </c>
      <c r="H33" s="121" t="str">
        <f>$A$46</f>
        <v>Max J5</v>
      </c>
      <c r="I33" s="122"/>
      <c r="J33" s="123">
        <v>3</v>
      </c>
      <c r="K33" s="124" t="s">
        <v>294</v>
      </c>
      <c r="L33" s="125">
        <v>0</v>
      </c>
      <c r="M33" s="126" t="str">
        <f>Scheids!$F$16</f>
        <v>Frank Maat</v>
      </c>
      <c r="N33" s="127"/>
      <c r="O33" s="128"/>
      <c r="Q33" s="129">
        <v>1</v>
      </c>
      <c r="R33" s="129">
        <v>2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Bonte Pael J1</v>
      </c>
      <c r="F34" s="121"/>
      <c r="G34" s="118" t="s">
        <v>294</v>
      </c>
      <c r="H34" s="121" t="str">
        <f>$A$45</f>
        <v>Maria J5</v>
      </c>
      <c r="I34" s="122"/>
      <c r="J34" s="123">
        <v>0</v>
      </c>
      <c r="K34" s="124" t="s">
        <v>294</v>
      </c>
      <c r="L34" s="125">
        <v>8</v>
      </c>
      <c r="M34" s="126" t="str">
        <f>Scheids!$F$16</f>
        <v>Frank Maat</v>
      </c>
      <c r="N34" s="127"/>
      <c r="O34" s="128"/>
      <c r="Q34" s="129">
        <v>2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Max J5</v>
      </c>
      <c r="F36" s="121"/>
      <c r="G36" s="118" t="s">
        <v>294</v>
      </c>
      <c r="H36" s="121" t="str">
        <f>$A$41</f>
        <v>Bonte Pael J1</v>
      </c>
      <c r="I36" s="122"/>
      <c r="J36" s="123"/>
      <c r="K36" s="124" t="s">
        <v>294</v>
      </c>
      <c r="L36" s="125"/>
      <c r="M36" s="126" t="str">
        <f>Scheids!$D$16</f>
        <v>Diana Schouten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J5</v>
      </c>
      <c r="F37" s="121"/>
      <c r="G37" s="118" t="s">
        <v>294</v>
      </c>
      <c r="H37" s="121" t="str">
        <f>$A$42</f>
        <v>Gabriël J2</v>
      </c>
      <c r="I37" s="122"/>
      <c r="J37" s="123"/>
      <c r="K37" s="124" t="s">
        <v>294</v>
      </c>
      <c r="L37" s="125"/>
      <c r="M37" s="126" t="str">
        <f>Scheids!$F$16</f>
        <v>Frank Maat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J1</v>
      </c>
      <c r="F38" s="136"/>
      <c r="G38" s="133" t="s">
        <v>294</v>
      </c>
      <c r="H38" s="136" t="str">
        <f>$A$44</f>
        <v>BMS J3</v>
      </c>
      <c r="I38" s="137"/>
      <c r="J38" s="138"/>
      <c r="K38" s="139" t="s">
        <v>294</v>
      </c>
      <c r="L38" s="140"/>
      <c r="M38" s="141" t="str">
        <f>Scheids!$F$16</f>
        <v>Frank Maat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Scholen!$D$24</f>
        <v>Bonte Pael J1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0</v>
      </c>
      <c r="L41" s="158"/>
      <c r="M41" s="156">
        <f>IF(AND($J$34&lt;&gt;"",$L$34&lt;&gt;""),IF($J$34&gt;$L$34,3,IF($J$34=$L$34,1,0)),"")</f>
        <v>0</v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5</v>
      </c>
      <c r="R41" s="152">
        <f>COUNTIFS(E41:N41,3)</f>
        <v>0</v>
      </c>
      <c r="S41" s="152">
        <f>COUNTIFS(E41:N41,0)</f>
        <v>4</v>
      </c>
      <c r="T41" s="152">
        <f>COUNTIFS(E41:N41,1)</f>
        <v>1</v>
      </c>
      <c r="U41" s="152">
        <f>J11+L18+J21+J23+L29+J34+L36</f>
        <v>1</v>
      </c>
      <c r="V41" s="152">
        <f>L11+J18+L21+L23+J29+L34+J36</f>
        <v>18</v>
      </c>
      <c r="W41" s="152">
        <f>Q11+R18+Q21+Q23+R29+Q34+R36</f>
        <v>7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Scholen!$D$25</f>
        <v>Gabriël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15</v>
      </c>
      <c r="Q42" s="152">
        <f t="shared" si="0"/>
        <v>5</v>
      </c>
      <c r="R42" s="152">
        <f t="shared" ref="R42:R48" si="2">COUNTIFS(E42:N42,3)</f>
        <v>5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15</v>
      </c>
      <c r="V42" s="152">
        <f>J11+L15+J19+L25+L28+L33+J37</f>
        <v>0</v>
      </c>
      <c r="W42" s="152">
        <f>R11+Q15+R19+Q25+Q28+Q33+R37</f>
        <v>5</v>
      </c>
      <c r="X42" s="129">
        <f t="shared" si="1"/>
        <v>1</v>
      </c>
    </row>
    <row r="43" spans="1:24" ht="18.75" customHeight="1" x14ac:dyDescent="0.3">
      <c r="A43" s="154" t="str">
        <f>Scholen!$D$26</f>
        <v>Maurits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1</v>
      </c>
      <c r="Q43" s="152">
        <f t="shared" si="0"/>
        <v>6</v>
      </c>
      <c r="R43" s="152">
        <f t="shared" si="2"/>
        <v>0</v>
      </c>
      <c r="S43" s="152">
        <f t="shared" si="3"/>
        <v>5</v>
      </c>
      <c r="T43" s="152">
        <f t="shared" si="4"/>
        <v>1</v>
      </c>
      <c r="U43" s="152">
        <f>J12+L15+J20+L23+J27+J32+L35</f>
        <v>1</v>
      </c>
      <c r="V43" s="152">
        <f>L12+J15+L20+J23+L27+L32+J35</f>
        <v>14</v>
      </c>
      <c r="W43" s="152">
        <f>Q12+R15+Q20+R23+Q27+Q32+R35</f>
        <v>10</v>
      </c>
      <c r="X43" s="129">
        <f t="shared" si="1"/>
        <v>6</v>
      </c>
    </row>
    <row r="44" spans="1:24" ht="18.75" customHeight="1" x14ac:dyDescent="0.3">
      <c r="A44" s="161" t="str">
        <f>Scholen!$D$27</f>
        <v>BMS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9</v>
      </c>
      <c r="Q44" s="152">
        <f t="shared" si="0"/>
        <v>5</v>
      </c>
      <c r="R44" s="152">
        <f t="shared" si="2"/>
        <v>3</v>
      </c>
      <c r="S44" s="152">
        <f t="shared" si="3"/>
        <v>2</v>
      </c>
      <c r="T44" s="152">
        <f t="shared" si="4"/>
        <v>0</v>
      </c>
      <c r="U44" s="152">
        <f>L12+J16+J19+L24+J29+L31+L38</f>
        <v>7</v>
      </c>
      <c r="V44" s="152">
        <f>J12+L16+L19+J24+L29+J31+J38</f>
        <v>2</v>
      </c>
      <c r="W44" s="152">
        <f>R12+Q16+Q19+R24+Q29+R31+R38</f>
        <v>9</v>
      </c>
      <c r="X44" s="129">
        <f t="shared" si="1"/>
        <v>3</v>
      </c>
    </row>
    <row r="45" spans="1:24" ht="18.75" customHeight="1" x14ac:dyDescent="0.3">
      <c r="A45" s="154" t="str">
        <f>Scholen!$D$28</f>
        <v>Maria J5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3</v>
      </c>
      <c r="L45" s="158"/>
      <c r="M45" s="156">
        <f>IF(AND($J$34&lt;&gt;"",$L$34&lt;&gt;""),IF($J$34&lt;$L$34,3,IF($J$34=$L$34,1,0)),"")</f>
        <v>3</v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15</v>
      </c>
      <c r="Q45" s="152">
        <f t="shared" si="0"/>
        <v>5</v>
      </c>
      <c r="R45" s="152">
        <f t="shared" si="2"/>
        <v>5</v>
      </c>
      <c r="S45" s="152">
        <f t="shared" si="3"/>
        <v>0</v>
      </c>
      <c r="T45" s="152">
        <f t="shared" si="4"/>
        <v>0</v>
      </c>
      <c r="U45" s="152">
        <f>J13+L16+L20+J26+L30+L34+J37</f>
        <v>22</v>
      </c>
      <c r="V45" s="152">
        <f>L13+J16+J20+L26+J30+J34+L37</f>
        <v>0</v>
      </c>
      <c r="W45" s="152">
        <f>Q13+R16+R20+Q26+R30+R34+Q37</f>
        <v>7</v>
      </c>
      <c r="X45" s="129">
        <f t="shared" si="1"/>
        <v>1</v>
      </c>
    </row>
    <row r="46" spans="1:24" ht="18.75" customHeight="1" x14ac:dyDescent="0.3">
      <c r="A46" s="154" t="str">
        <f>Scholen!$D$29</f>
        <v>Max J5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0</v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6</v>
      </c>
      <c r="Q46" s="152">
        <f t="shared" si="0"/>
        <v>5</v>
      </c>
      <c r="R46" s="152">
        <f t="shared" si="2"/>
        <v>2</v>
      </c>
      <c r="S46" s="152">
        <f t="shared" si="3"/>
        <v>3</v>
      </c>
      <c r="T46" s="152">
        <f t="shared" si="4"/>
        <v>0</v>
      </c>
      <c r="U46" s="152">
        <f>L13+J17+J22+J24+L27+L33+J36</f>
        <v>5</v>
      </c>
      <c r="V46" s="152">
        <f>J13+L17+L22+L24+J27+J33+L36</f>
        <v>14</v>
      </c>
      <c r="W46" s="152">
        <f>R13+Q17+Q22+Q24+R27+R33+Q36</f>
        <v>9</v>
      </c>
      <c r="X46" s="129">
        <f t="shared" si="1"/>
        <v>4</v>
      </c>
    </row>
    <row r="47" spans="1:24" ht="18.75" customHeight="1" x14ac:dyDescent="0.3">
      <c r="A47" s="154" t="str">
        <f>IF(Scholen!$D$30&lt;&gt;"",Scholen!$D$30,"")</f>
        <v>Waterhof J1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0</v>
      </c>
      <c r="L47" s="158"/>
      <c r="M47" s="164">
        <f>IF(AND($J$32&lt;&gt;"",$L$32&lt;&gt;""),IF($J$32&lt;$L$32,3,IF($J$32=$L$32,1,0)),"")</f>
        <v>3</v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6</v>
      </c>
      <c r="Q47" s="152">
        <f t="shared" si="0"/>
        <v>5</v>
      </c>
      <c r="R47" s="152">
        <f t="shared" si="2"/>
        <v>2</v>
      </c>
      <c r="S47" s="152">
        <f t="shared" si="3"/>
        <v>3</v>
      </c>
      <c r="T47" s="152">
        <f t="shared" si="4"/>
        <v>0</v>
      </c>
      <c r="U47" s="152">
        <f>J14+L17+L21+L25+J30+L32+J38</f>
        <v>6</v>
      </c>
      <c r="V47" s="152">
        <f>L14+J17+J21+J25+L30+J32+L38</f>
        <v>9</v>
      </c>
      <c r="W47" s="152">
        <f>Q14+R17+R21+R25+Q30+R32+Q38</f>
        <v>6</v>
      </c>
      <c r="X47" s="129">
        <f t="shared" si="1"/>
        <v>4</v>
      </c>
    </row>
    <row r="48" spans="1:24" ht="18.75" customHeight="1" x14ac:dyDescent="0.3">
      <c r="A48" s="154" t="str">
        <f>IF(Scholen!$D$31&lt;&gt;"",Scholen!$D$31,"")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7EFC6-9625-411F-A34E-D11D3E4EAFB6}">
  <sheetPr codeName="Blad14"/>
  <dimension ref="A1:X48"/>
  <sheetViews>
    <sheetView topLeftCell="A25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Scholen!$F$22</f>
        <v>Jongens</v>
      </c>
      <c r="F8" s="81"/>
      <c r="G8" s="81"/>
      <c r="H8" s="82" t="s">
        <v>1</v>
      </c>
      <c r="I8" s="83" t="s">
        <v>91</v>
      </c>
      <c r="J8" s="81" t="s">
        <v>11</v>
      </c>
      <c r="K8" s="84">
        <f>Scholen!$G$21</f>
        <v>12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J6</v>
      </c>
      <c r="F11" s="107"/>
      <c r="G11" s="104" t="s">
        <v>294</v>
      </c>
      <c r="H11" s="107" t="str">
        <f>$A$42</f>
        <v>Springwijs J2</v>
      </c>
      <c r="I11" s="108"/>
      <c r="J11" s="109">
        <v>1</v>
      </c>
      <c r="K11" s="110" t="s">
        <v>294</v>
      </c>
      <c r="L11" s="111">
        <v>1</v>
      </c>
      <c r="M11" s="112" t="str">
        <f>Scheids!$D$17</f>
        <v>Patrick vd Helm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Tuin J3</v>
      </c>
      <c r="F12" s="121"/>
      <c r="G12" s="118" t="s">
        <v>294</v>
      </c>
      <c r="H12" s="121" t="str">
        <f>$A$44</f>
        <v>Talent J3</v>
      </c>
      <c r="I12" s="122"/>
      <c r="J12" s="123">
        <v>0</v>
      </c>
      <c r="K12" s="124" t="s">
        <v>294</v>
      </c>
      <c r="L12" s="125">
        <v>1</v>
      </c>
      <c r="M12" s="126" t="str">
        <f>Scheids!$D$17</f>
        <v>Patrick vd Helm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J4</v>
      </c>
      <c r="F13" s="121"/>
      <c r="G13" s="118" t="s">
        <v>294</v>
      </c>
      <c r="H13" s="121" t="str">
        <f>$A$46</f>
        <v>Maria J6</v>
      </c>
      <c r="I13" s="122"/>
      <c r="J13" s="123">
        <v>0</v>
      </c>
      <c r="K13" s="124" t="s">
        <v>294</v>
      </c>
      <c r="L13" s="125">
        <v>1</v>
      </c>
      <c r="M13" s="126" t="str">
        <f>Scheids!$D$17</f>
        <v>Patrick vd Helm</v>
      </c>
      <c r="N13" s="127"/>
      <c r="O13" s="128"/>
      <c r="Q13" s="129">
        <v>1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Springwijs J2</v>
      </c>
      <c r="F15" s="121"/>
      <c r="G15" s="118" t="s">
        <v>294</v>
      </c>
      <c r="H15" s="121" t="str">
        <f>$A$43</f>
        <v>Tuin J3</v>
      </c>
      <c r="I15" s="122"/>
      <c r="J15" s="123">
        <v>1</v>
      </c>
      <c r="K15" s="124" t="s">
        <v>294</v>
      </c>
      <c r="L15" s="125">
        <v>1</v>
      </c>
      <c r="M15" s="126" t="str">
        <f>Scheids!$F$17</f>
        <v>Quinten Kube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Talent J3</v>
      </c>
      <c r="F16" s="121"/>
      <c r="G16" s="118" t="s">
        <v>294</v>
      </c>
      <c r="H16" s="121" t="str">
        <f>$A$45</f>
        <v>Mozaïek J4</v>
      </c>
      <c r="I16" s="122"/>
      <c r="J16" s="123">
        <v>0</v>
      </c>
      <c r="K16" s="124" t="s">
        <v>294</v>
      </c>
      <c r="L16" s="125">
        <v>0</v>
      </c>
      <c r="M16" s="126" t="str">
        <f>Scheids!$F$17</f>
        <v>Quinten Kube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J6</v>
      </c>
      <c r="F17" s="121"/>
      <c r="G17" s="118" t="s">
        <v>294</v>
      </c>
      <c r="H17" s="121" t="str">
        <f>$A$47</f>
        <v>Widar J2</v>
      </c>
      <c r="I17" s="122"/>
      <c r="J17" s="123">
        <v>3</v>
      </c>
      <c r="K17" s="124" t="s">
        <v>294</v>
      </c>
      <c r="L17" s="125">
        <v>0</v>
      </c>
      <c r="M17" s="126" t="str">
        <f>Scheids!$F$17</f>
        <v>Quinten Kube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Talent J3</v>
      </c>
      <c r="F19" s="121"/>
      <c r="G19" s="118" t="s">
        <v>294</v>
      </c>
      <c r="H19" s="121" t="str">
        <f>$A$42</f>
        <v>Springwijs J2</v>
      </c>
      <c r="I19" s="122"/>
      <c r="J19" s="123">
        <v>2</v>
      </c>
      <c r="K19" s="124" t="s">
        <v>294</v>
      </c>
      <c r="L19" s="125">
        <v>0</v>
      </c>
      <c r="M19" s="126" t="str">
        <f>Scheids!$D$17</f>
        <v>Patrick vd Helm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Tuin J3</v>
      </c>
      <c r="F20" s="121"/>
      <c r="G20" s="118" t="s">
        <v>294</v>
      </c>
      <c r="H20" s="121" t="str">
        <f>$A$45</f>
        <v>Mozaïek J4</v>
      </c>
      <c r="I20" s="122"/>
      <c r="J20" s="123">
        <v>0</v>
      </c>
      <c r="K20" s="124" t="s">
        <v>294</v>
      </c>
      <c r="L20" s="125">
        <v>2</v>
      </c>
      <c r="M20" s="126" t="str">
        <f>Scheids!$D$17</f>
        <v>Patrick vd Helm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J6</v>
      </c>
      <c r="F21" s="121"/>
      <c r="G21" s="118" t="s">
        <v>294</v>
      </c>
      <c r="H21" s="121" t="str">
        <f>$A$47</f>
        <v>Widar J2</v>
      </c>
      <c r="I21" s="122"/>
      <c r="J21" s="123">
        <v>0</v>
      </c>
      <c r="K21" s="124" t="s">
        <v>294</v>
      </c>
      <c r="L21" s="125">
        <v>1</v>
      </c>
      <c r="M21" s="126" t="str">
        <f>Scheids!$D$17</f>
        <v>Patrick vd Helm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J6</v>
      </c>
      <c r="F23" s="121"/>
      <c r="G23" s="118" t="s">
        <v>294</v>
      </c>
      <c r="H23" s="121" t="str">
        <f>$A$43</f>
        <v>Tuin J3</v>
      </c>
      <c r="I23" s="122"/>
      <c r="J23" s="123">
        <v>0</v>
      </c>
      <c r="K23" s="124" t="s">
        <v>294</v>
      </c>
      <c r="L23" s="125">
        <v>2</v>
      </c>
      <c r="M23" s="126" t="str">
        <f>Scheids!$F$17</f>
        <v>Quinten Kube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J6</v>
      </c>
      <c r="F24" s="121"/>
      <c r="G24" s="118" t="s">
        <v>294</v>
      </c>
      <c r="H24" s="121" t="str">
        <f>$A$44</f>
        <v>Talent J3</v>
      </c>
      <c r="I24" s="122"/>
      <c r="J24" s="123">
        <v>4</v>
      </c>
      <c r="K24" s="124" t="s">
        <v>294</v>
      </c>
      <c r="L24" s="125">
        <v>0</v>
      </c>
      <c r="M24" s="126" t="str">
        <f>Scheids!$F$17</f>
        <v>Quinten Kube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Springwijs J2</v>
      </c>
      <c r="F25" s="121"/>
      <c r="G25" s="118" t="s">
        <v>294</v>
      </c>
      <c r="H25" s="121" t="str">
        <f>$A$47</f>
        <v>Widar J2</v>
      </c>
      <c r="I25" s="122"/>
      <c r="J25" s="123">
        <v>0</v>
      </c>
      <c r="K25" s="124" t="s">
        <v>294</v>
      </c>
      <c r="L25" s="125">
        <v>5</v>
      </c>
      <c r="M25" s="126" t="str">
        <f>Scheids!$F$17</f>
        <v>Quinten Kube</v>
      </c>
      <c r="N25" s="127"/>
      <c r="O25" s="128"/>
      <c r="Q25" s="129">
        <v>0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Tuin J3</v>
      </c>
      <c r="F27" s="121"/>
      <c r="G27" s="118" t="s">
        <v>294</v>
      </c>
      <c r="H27" s="121" t="str">
        <f>$A$46</f>
        <v>Maria J6</v>
      </c>
      <c r="I27" s="122"/>
      <c r="J27" s="123">
        <v>0</v>
      </c>
      <c r="K27" s="124" t="s">
        <v>294</v>
      </c>
      <c r="L27" s="125">
        <v>4</v>
      </c>
      <c r="M27" s="126" t="str">
        <f>Scheids!$D$17</f>
        <v>Patrick vd Helm</v>
      </c>
      <c r="N27" s="127"/>
      <c r="O27" s="128"/>
      <c r="Q27" s="129">
        <v>1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Talent J3</v>
      </c>
      <c r="F29" s="121"/>
      <c r="G29" s="118" t="s">
        <v>294</v>
      </c>
      <c r="H29" s="121" t="str">
        <f>$A$41</f>
        <v>Max J6</v>
      </c>
      <c r="I29" s="122"/>
      <c r="J29" s="123">
        <v>3</v>
      </c>
      <c r="K29" s="124" t="s">
        <v>294</v>
      </c>
      <c r="L29" s="125">
        <v>0</v>
      </c>
      <c r="M29" s="126" t="str">
        <f>Scheids!$D$17</f>
        <v>Patrick vd Helm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J2</v>
      </c>
      <c r="F30" s="121"/>
      <c r="G30" s="118" t="s">
        <v>294</v>
      </c>
      <c r="H30" s="121" t="str">
        <f>$A$45</f>
        <v>Mozaïek J4</v>
      </c>
      <c r="I30" s="122"/>
      <c r="J30" s="123">
        <v>4</v>
      </c>
      <c r="K30" s="124" t="s">
        <v>294</v>
      </c>
      <c r="L30" s="125">
        <v>0</v>
      </c>
      <c r="M30" s="126" t="str">
        <f>Scheids!$D$17</f>
        <v>Patrick vd Helm</v>
      </c>
      <c r="N30" s="127"/>
      <c r="O30" s="128"/>
      <c r="Q30" s="129">
        <v>2</v>
      </c>
      <c r="R30" s="129">
        <v>1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Tuin J3</v>
      </c>
      <c r="F32" s="121"/>
      <c r="G32" s="118" t="s">
        <v>294</v>
      </c>
      <c r="H32" s="121" t="str">
        <f>$A$47</f>
        <v>Widar J2</v>
      </c>
      <c r="I32" s="122"/>
      <c r="J32" s="123">
        <v>0</v>
      </c>
      <c r="K32" s="124" t="s">
        <v>294</v>
      </c>
      <c r="L32" s="125">
        <v>1</v>
      </c>
      <c r="M32" s="126" t="str">
        <f>Scheids!$F$17</f>
        <v>Quinten Kube</v>
      </c>
      <c r="N32" s="127"/>
      <c r="O32" s="128"/>
      <c r="Q32" s="129">
        <v>2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Springwijs J2</v>
      </c>
      <c r="F33" s="121"/>
      <c r="G33" s="118" t="s">
        <v>294</v>
      </c>
      <c r="H33" s="121" t="str">
        <f>$A$46</f>
        <v>Maria J6</v>
      </c>
      <c r="I33" s="122"/>
      <c r="J33" s="123">
        <v>0</v>
      </c>
      <c r="K33" s="124" t="s">
        <v>294</v>
      </c>
      <c r="L33" s="125">
        <v>6</v>
      </c>
      <c r="M33" s="126" t="str">
        <f>Scheids!$F$17</f>
        <v>Quinten Kube</v>
      </c>
      <c r="N33" s="127"/>
      <c r="O33" s="128"/>
      <c r="Q33" s="129">
        <v>2</v>
      </c>
      <c r="R33" s="129">
        <v>2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J6</v>
      </c>
      <c r="F34" s="121"/>
      <c r="G34" s="118" t="s">
        <v>294</v>
      </c>
      <c r="H34" s="121" t="str">
        <f>$A$45</f>
        <v>Mozaïek J4</v>
      </c>
      <c r="I34" s="122"/>
      <c r="J34" s="123">
        <v>0</v>
      </c>
      <c r="K34" s="124" t="s">
        <v>294</v>
      </c>
      <c r="L34" s="125">
        <v>5</v>
      </c>
      <c r="M34" s="126" t="str">
        <f>Scheids!$F$17</f>
        <v>Quinten Kube</v>
      </c>
      <c r="N34" s="127"/>
      <c r="O34" s="128"/>
      <c r="Q34" s="129">
        <v>0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J6</v>
      </c>
      <c r="F36" s="121"/>
      <c r="G36" s="118" t="s">
        <v>294</v>
      </c>
      <c r="H36" s="121" t="str">
        <f>$A$41</f>
        <v>Max J6</v>
      </c>
      <c r="I36" s="122"/>
      <c r="J36" s="123"/>
      <c r="K36" s="124" t="s">
        <v>294</v>
      </c>
      <c r="L36" s="125"/>
      <c r="M36" s="126" t="str">
        <f>Scheids!$D$17</f>
        <v>Patrick vd Helm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J4</v>
      </c>
      <c r="F37" s="121"/>
      <c r="G37" s="118" t="s">
        <v>294</v>
      </c>
      <c r="H37" s="121" t="str">
        <f>$A$42</f>
        <v>Springwijs J2</v>
      </c>
      <c r="I37" s="122"/>
      <c r="J37" s="123"/>
      <c r="K37" s="124" t="s">
        <v>294</v>
      </c>
      <c r="L37" s="125"/>
      <c r="M37" s="126" t="str">
        <f>Scheids!$F$17</f>
        <v>Quinten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J2</v>
      </c>
      <c r="F38" s="136"/>
      <c r="G38" s="133" t="s">
        <v>294</v>
      </c>
      <c r="H38" s="136" t="str">
        <f>$A$44</f>
        <v>Talent J3</v>
      </c>
      <c r="I38" s="137"/>
      <c r="J38" s="138"/>
      <c r="K38" s="139" t="s">
        <v>294</v>
      </c>
      <c r="L38" s="140"/>
      <c r="M38" s="141" t="str">
        <f>Scheids!$F$17</f>
        <v>Quinten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Scholen!$F$24</f>
        <v>Max J6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>
        <f>IF(AND($J$34&lt;&gt;"",$L$34&lt;&gt;""),IF($J$34&gt;$L$34,3,IF($J$34=$L$34,1,0)),"")</f>
        <v>0</v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5</v>
      </c>
      <c r="R41" s="152">
        <f>COUNTIFS(E41:N41,3)</f>
        <v>0</v>
      </c>
      <c r="S41" s="152">
        <f>COUNTIFS(E41:N41,0)</f>
        <v>4</v>
      </c>
      <c r="T41" s="152">
        <f>COUNTIFS(E41:N41,1)</f>
        <v>1</v>
      </c>
      <c r="U41" s="152">
        <f>J11+L18+J21+J23+L29+J34+L36</f>
        <v>1</v>
      </c>
      <c r="V41" s="152">
        <f>L11+J18+L21+L23+J29+L34+J36</f>
        <v>12</v>
      </c>
      <c r="W41" s="152">
        <f>Q11+R18+Q21+Q23+R29+Q34+R36</f>
        <v>8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 t="str">
        <f>Scholen!$F$25</f>
        <v>Springwijs J2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0</v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2</v>
      </c>
      <c r="Q42" s="152">
        <f t="shared" si="0"/>
        <v>5</v>
      </c>
      <c r="R42" s="152">
        <f t="shared" ref="R42:R48" si="2">COUNTIFS(E42:N42,3)</f>
        <v>0</v>
      </c>
      <c r="S42" s="152">
        <f t="shared" ref="S42:S48" si="3">COUNTIFS(E42:N42,0)</f>
        <v>3</v>
      </c>
      <c r="T42" s="152">
        <f t="shared" ref="T42:T48" si="4">COUNTIFS(E42:N42,1)</f>
        <v>2</v>
      </c>
      <c r="U42" s="152">
        <f>L11+J15+L19+J25+J28+J33+L37</f>
        <v>2</v>
      </c>
      <c r="V42" s="152">
        <f>J11+L15+J19+L25+L28+L33+J37</f>
        <v>15</v>
      </c>
      <c r="W42" s="152">
        <f>R11+Q15+R19+Q25+Q28+Q33+R37</f>
        <v>7</v>
      </c>
      <c r="X42" s="129">
        <f t="shared" si="1"/>
        <v>6</v>
      </c>
    </row>
    <row r="43" spans="1:24" ht="18.75" customHeight="1" x14ac:dyDescent="0.3">
      <c r="A43" s="154" t="str">
        <f>Scholen!$F$26</f>
        <v>Tuin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6</v>
      </c>
      <c r="R43" s="152">
        <f t="shared" si="2"/>
        <v>1</v>
      </c>
      <c r="S43" s="152">
        <f t="shared" si="3"/>
        <v>4</v>
      </c>
      <c r="T43" s="152">
        <f t="shared" si="4"/>
        <v>1</v>
      </c>
      <c r="U43" s="152">
        <f>J12+L15+J20+L23+J27+J32+L35</f>
        <v>3</v>
      </c>
      <c r="V43" s="152">
        <f>L12+J15+L20+J23+L27+L32+J35</f>
        <v>9</v>
      </c>
      <c r="W43" s="152">
        <f>Q12+R15+Q20+R23+Q27+Q32+R35</f>
        <v>10</v>
      </c>
      <c r="X43" s="129">
        <f t="shared" si="1"/>
        <v>5</v>
      </c>
    </row>
    <row r="44" spans="1:24" ht="18.75" customHeight="1" x14ac:dyDescent="0.3">
      <c r="A44" s="161" t="str">
        <f>Scholen!$F$27</f>
        <v>Talent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10</v>
      </c>
      <c r="Q44" s="152">
        <f t="shared" si="0"/>
        <v>5</v>
      </c>
      <c r="R44" s="152">
        <f t="shared" si="2"/>
        <v>3</v>
      </c>
      <c r="S44" s="152">
        <f t="shared" si="3"/>
        <v>1</v>
      </c>
      <c r="T44" s="152">
        <f t="shared" si="4"/>
        <v>1</v>
      </c>
      <c r="U44" s="152">
        <f>L12+J16+J19+L24+J29+L31+L38</f>
        <v>6</v>
      </c>
      <c r="V44" s="152">
        <f>J12+L16+L19+J24+L29+J31+J38</f>
        <v>4</v>
      </c>
      <c r="W44" s="152">
        <f>R12+Q16+Q19+R24+Q29+R31+R38</f>
        <v>10</v>
      </c>
      <c r="X44" s="129">
        <f t="shared" si="1"/>
        <v>3</v>
      </c>
    </row>
    <row r="45" spans="1:24" ht="18.75" customHeight="1" x14ac:dyDescent="0.3">
      <c r="A45" s="154" t="str">
        <f>Scholen!$F$28</f>
        <v>Mozaïek J4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7</v>
      </c>
      <c r="Q45" s="152">
        <f t="shared" si="0"/>
        <v>5</v>
      </c>
      <c r="R45" s="152">
        <f t="shared" si="2"/>
        <v>2</v>
      </c>
      <c r="S45" s="152">
        <f t="shared" si="3"/>
        <v>2</v>
      </c>
      <c r="T45" s="152">
        <f t="shared" si="4"/>
        <v>1</v>
      </c>
      <c r="U45" s="152">
        <f>J13+L16+L20+J26+L30+L34+J37</f>
        <v>7</v>
      </c>
      <c r="V45" s="152">
        <f>L13+J16+J20+L26+J30+J34+L37</f>
        <v>5</v>
      </c>
      <c r="W45" s="152">
        <f>Q13+R16+R20+Q26+R30+R34+Q37</f>
        <v>7</v>
      </c>
      <c r="X45" s="129">
        <f t="shared" si="1"/>
        <v>4</v>
      </c>
    </row>
    <row r="46" spans="1:24" ht="18.75" customHeight="1" x14ac:dyDescent="0.3">
      <c r="A46" s="154" t="str">
        <f>Scholen!$F$29</f>
        <v>Maria J6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15</v>
      </c>
      <c r="Q46" s="152">
        <f t="shared" si="0"/>
        <v>5</v>
      </c>
      <c r="R46" s="152">
        <f t="shared" si="2"/>
        <v>5</v>
      </c>
      <c r="S46" s="152">
        <f t="shared" si="3"/>
        <v>0</v>
      </c>
      <c r="T46" s="152">
        <f t="shared" si="4"/>
        <v>0</v>
      </c>
      <c r="U46" s="152">
        <f>L13+J17+J22+J24+L27+L33+J36</f>
        <v>18</v>
      </c>
      <c r="V46" s="152">
        <f>J13+L17+L22+L24+J27+J33+L36</f>
        <v>0</v>
      </c>
      <c r="W46" s="152">
        <f>R13+Q17+Q22+Q24+R27+R33+Q36</f>
        <v>10</v>
      </c>
      <c r="X46" s="129">
        <f t="shared" si="1"/>
        <v>1</v>
      </c>
    </row>
    <row r="47" spans="1:24" ht="18.75" customHeight="1" x14ac:dyDescent="0.3">
      <c r="A47" s="154" t="str">
        <f>IF(Scholen!$F$30&lt;&gt;"",Scholen!$F$30,"")</f>
        <v>Widar J2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12</v>
      </c>
      <c r="Q47" s="152">
        <f t="shared" si="0"/>
        <v>5</v>
      </c>
      <c r="R47" s="152">
        <f t="shared" si="2"/>
        <v>4</v>
      </c>
      <c r="S47" s="152">
        <f t="shared" si="3"/>
        <v>1</v>
      </c>
      <c r="T47" s="152">
        <f t="shared" si="4"/>
        <v>0</v>
      </c>
      <c r="U47" s="152">
        <f>J14+L17+L21+L25+J30+L32+J38</f>
        <v>11</v>
      </c>
      <c r="V47" s="152">
        <f>L14+J17+J21+J25+L30+J32+L38</f>
        <v>3</v>
      </c>
      <c r="W47" s="152">
        <f>Q14+R17+R21+R25+Q30+R32+Q38</f>
        <v>10</v>
      </c>
      <c r="X47" s="129">
        <f t="shared" si="1"/>
        <v>2</v>
      </c>
    </row>
    <row r="48" spans="1:24" ht="18.75" customHeight="1" x14ac:dyDescent="0.3">
      <c r="A48" s="154" t="str">
        <f>IF(Scholen!$F$31&lt;&gt;"",Scholen!$F$31,"")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6A785-12BE-49B7-9EB1-AB94C8CD9846}">
  <sheetPr codeName="Blad15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Scholen!$H$22</f>
        <v>Jongens</v>
      </c>
      <c r="F8" s="81"/>
      <c r="G8" s="81"/>
      <c r="H8" s="82" t="s">
        <v>1</v>
      </c>
      <c r="I8" s="83" t="s">
        <v>92</v>
      </c>
      <c r="J8" s="81" t="s">
        <v>11</v>
      </c>
      <c r="K8" s="84">
        <f>Scholen!$I$21</f>
        <v>13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Eglantier-V J2</v>
      </c>
      <c r="F11" s="107"/>
      <c r="G11" s="104" t="s">
        <v>294</v>
      </c>
      <c r="H11" s="107" t="str">
        <f>$A$42</f>
        <v>Max J7</v>
      </c>
      <c r="I11" s="108"/>
      <c r="J11" s="109">
        <v>3</v>
      </c>
      <c r="K11" s="110" t="s">
        <v>294</v>
      </c>
      <c r="L11" s="111">
        <v>0</v>
      </c>
      <c r="M11" s="112" t="str">
        <f>Scheids!$D$18</f>
        <v>Martin van Blitterswijk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Vermeer J2</v>
      </c>
      <c r="F12" s="121"/>
      <c r="G12" s="118" t="s">
        <v>294</v>
      </c>
      <c r="H12" s="121" t="str">
        <f>$A$44</f>
        <v>Freinet J3</v>
      </c>
      <c r="I12" s="122"/>
      <c r="J12" s="123">
        <v>0</v>
      </c>
      <c r="K12" s="124" t="s">
        <v>294</v>
      </c>
      <c r="L12" s="125">
        <v>2</v>
      </c>
      <c r="M12" s="126" t="str">
        <f>Scheids!$D$18</f>
        <v>Martin van Blitterswijk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DSV J3</v>
      </c>
      <c r="F13" s="121"/>
      <c r="G13" s="118" t="s">
        <v>294</v>
      </c>
      <c r="H13" s="121" t="str">
        <f>$A$46</f>
        <v>BMS J4</v>
      </c>
      <c r="I13" s="122"/>
      <c r="J13" s="123">
        <v>1</v>
      </c>
      <c r="K13" s="124" t="s">
        <v>294</v>
      </c>
      <c r="L13" s="125">
        <v>0</v>
      </c>
      <c r="M13" s="126" t="str">
        <f>Scheids!$D$18</f>
        <v>Martin van Blitterswijk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J7</v>
      </c>
      <c r="F15" s="121"/>
      <c r="G15" s="118" t="s">
        <v>294</v>
      </c>
      <c r="H15" s="121" t="str">
        <f>$A$43</f>
        <v>Vermeer J2</v>
      </c>
      <c r="I15" s="122"/>
      <c r="J15" s="123">
        <v>1</v>
      </c>
      <c r="K15" s="124" t="s">
        <v>294</v>
      </c>
      <c r="L15" s="125">
        <v>0</v>
      </c>
      <c r="M15" s="126" t="str">
        <f>Scheids!$F$18</f>
        <v>Andrew Kube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Freinet J3</v>
      </c>
      <c r="F16" s="121"/>
      <c r="G16" s="118" t="s">
        <v>294</v>
      </c>
      <c r="H16" s="121" t="str">
        <f>$A$45</f>
        <v>DSV J3</v>
      </c>
      <c r="I16" s="122"/>
      <c r="J16" s="123">
        <v>1</v>
      </c>
      <c r="K16" s="124" t="s">
        <v>294</v>
      </c>
      <c r="L16" s="125">
        <v>0</v>
      </c>
      <c r="M16" s="126" t="str">
        <f>Scheids!$F$18</f>
        <v>Andrew Kube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J4</v>
      </c>
      <c r="F17" s="121"/>
      <c r="G17" s="118" t="s">
        <v>294</v>
      </c>
      <c r="H17" s="121" t="str">
        <f>$A$47</f>
        <v>Maria J7</v>
      </c>
      <c r="I17" s="122"/>
      <c r="J17" s="123">
        <v>1</v>
      </c>
      <c r="K17" s="124" t="s">
        <v>294</v>
      </c>
      <c r="L17" s="125">
        <v>3</v>
      </c>
      <c r="M17" s="126" t="str">
        <f>Scheids!$F$18</f>
        <v>Andrew Kube</v>
      </c>
      <c r="N17" s="127"/>
      <c r="O17" s="128"/>
      <c r="Q17" s="129">
        <v>1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Freinet J3</v>
      </c>
      <c r="F19" s="121"/>
      <c r="G19" s="118" t="s">
        <v>294</v>
      </c>
      <c r="H19" s="121" t="str">
        <f>$A$42</f>
        <v>Max J7</v>
      </c>
      <c r="I19" s="122"/>
      <c r="J19" s="123">
        <v>2</v>
      </c>
      <c r="K19" s="124" t="s">
        <v>294</v>
      </c>
      <c r="L19" s="125">
        <v>0</v>
      </c>
      <c r="M19" s="126" t="str">
        <f>Scheids!$D$18</f>
        <v>Martin van Blitterswijk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Vermeer J2</v>
      </c>
      <c r="F20" s="121"/>
      <c r="G20" s="118" t="s">
        <v>294</v>
      </c>
      <c r="H20" s="121" t="str">
        <f>$A$45</f>
        <v>DSV J3</v>
      </c>
      <c r="I20" s="122"/>
      <c r="J20" s="123">
        <v>0</v>
      </c>
      <c r="K20" s="124" t="s">
        <v>294</v>
      </c>
      <c r="L20" s="125">
        <v>2</v>
      </c>
      <c r="M20" s="126" t="str">
        <f>Scheids!$D$18</f>
        <v>Martin van Blitterswijk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Eglantier-V J2</v>
      </c>
      <c r="F21" s="121"/>
      <c r="G21" s="118" t="s">
        <v>294</v>
      </c>
      <c r="H21" s="121" t="str">
        <f>$A$47</f>
        <v>Maria J7</v>
      </c>
      <c r="I21" s="122"/>
      <c r="J21" s="123">
        <v>0</v>
      </c>
      <c r="K21" s="124" t="s">
        <v>294</v>
      </c>
      <c r="L21" s="125">
        <v>2</v>
      </c>
      <c r="M21" s="126" t="str">
        <f>Scheids!$D$18</f>
        <v>Martin van Blitterswijk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Eglantier-V J2</v>
      </c>
      <c r="F23" s="121"/>
      <c r="G23" s="118" t="s">
        <v>294</v>
      </c>
      <c r="H23" s="121" t="str">
        <f>$A$43</f>
        <v>Vermeer J2</v>
      </c>
      <c r="I23" s="122"/>
      <c r="J23" s="123">
        <v>2</v>
      </c>
      <c r="K23" s="124" t="s">
        <v>294</v>
      </c>
      <c r="L23" s="125">
        <v>0</v>
      </c>
      <c r="M23" s="126" t="str">
        <f>Scheids!$F$18</f>
        <v>Andrew Kube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J4</v>
      </c>
      <c r="F24" s="121"/>
      <c r="G24" s="118" t="s">
        <v>294</v>
      </c>
      <c r="H24" s="121" t="str">
        <f>$A$44</f>
        <v>Freinet J3</v>
      </c>
      <c r="I24" s="122"/>
      <c r="J24" s="123">
        <v>1</v>
      </c>
      <c r="K24" s="124" t="s">
        <v>294</v>
      </c>
      <c r="L24" s="125">
        <v>0</v>
      </c>
      <c r="M24" s="126" t="str">
        <f>Scheids!$F$18</f>
        <v>Andrew Kube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J7</v>
      </c>
      <c r="F25" s="121"/>
      <c r="G25" s="118" t="s">
        <v>294</v>
      </c>
      <c r="H25" s="121" t="str">
        <f>$A$47</f>
        <v>Maria J7</v>
      </c>
      <c r="I25" s="122"/>
      <c r="J25" s="123">
        <v>0</v>
      </c>
      <c r="K25" s="124" t="s">
        <v>294</v>
      </c>
      <c r="L25" s="125">
        <v>3</v>
      </c>
      <c r="M25" s="126" t="str">
        <f>Scheids!$F$18</f>
        <v>Andrew Kube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Vermeer J2</v>
      </c>
      <c r="F27" s="121"/>
      <c r="G27" s="118" t="s">
        <v>294</v>
      </c>
      <c r="H27" s="121" t="str">
        <f>$A$46</f>
        <v>BMS J4</v>
      </c>
      <c r="I27" s="122"/>
      <c r="J27" s="123">
        <v>0</v>
      </c>
      <c r="K27" s="124" t="s">
        <v>294</v>
      </c>
      <c r="L27" s="125">
        <v>2</v>
      </c>
      <c r="M27" s="126" t="str">
        <f>Scheids!$D$18</f>
        <v>Martin van Blitterswijk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Freinet J3</v>
      </c>
      <c r="F29" s="121"/>
      <c r="G29" s="118" t="s">
        <v>294</v>
      </c>
      <c r="H29" s="121" t="str">
        <f>$A$41</f>
        <v>Eglantier-V J2</v>
      </c>
      <c r="I29" s="122"/>
      <c r="J29" s="123">
        <v>1</v>
      </c>
      <c r="K29" s="124" t="s">
        <v>294</v>
      </c>
      <c r="L29" s="125">
        <v>1</v>
      </c>
      <c r="M29" s="126" t="str">
        <f>Scheids!$D$18</f>
        <v>Martin van Blitterswijk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Maria J7</v>
      </c>
      <c r="F30" s="121"/>
      <c r="G30" s="118" t="s">
        <v>294</v>
      </c>
      <c r="H30" s="121" t="str">
        <f>$A$45</f>
        <v>DSV J3</v>
      </c>
      <c r="I30" s="122"/>
      <c r="J30" s="123">
        <v>3</v>
      </c>
      <c r="K30" s="124" t="s">
        <v>294</v>
      </c>
      <c r="L30" s="125">
        <v>0</v>
      </c>
      <c r="M30" s="126" t="str">
        <f>Scheids!$D$18</f>
        <v>Martin van Blitterswijk</v>
      </c>
      <c r="N30" s="127"/>
      <c r="O30" s="128"/>
      <c r="Q30" s="129">
        <v>1</v>
      </c>
      <c r="R30" s="129">
        <v>1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Vermeer J2</v>
      </c>
      <c r="F32" s="121"/>
      <c r="G32" s="118" t="s">
        <v>294</v>
      </c>
      <c r="H32" s="121" t="str">
        <f>$A$47</f>
        <v>Maria J7</v>
      </c>
      <c r="I32" s="122"/>
      <c r="J32" s="123">
        <v>0</v>
      </c>
      <c r="K32" s="124" t="s">
        <v>294</v>
      </c>
      <c r="L32" s="125">
        <v>4</v>
      </c>
      <c r="M32" s="126" t="str">
        <f>Scheids!$F$18</f>
        <v>Andrew Kube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J7</v>
      </c>
      <c r="F33" s="121"/>
      <c r="G33" s="118" t="s">
        <v>294</v>
      </c>
      <c r="H33" s="121" t="str">
        <f>$A$46</f>
        <v>BMS J4</v>
      </c>
      <c r="I33" s="122"/>
      <c r="J33" s="123">
        <v>0</v>
      </c>
      <c r="K33" s="124" t="s">
        <v>294</v>
      </c>
      <c r="L33" s="125">
        <v>4</v>
      </c>
      <c r="M33" s="126" t="str">
        <f>Scheids!$F$18</f>
        <v>Andrew Kube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Eglantier-V J2</v>
      </c>
      <c r="F34" s="121"/>
      <c r="G34" s="118" t="s">
        <v>294</v>
      </c>
      <c r="H34" s="121" t="str">
        <f>$A$45</f>
        <v>DSV J3</v>
      </c>
      <c r="I34" s="122"/>
      <c r="J34" s="123">
        <v>0</v>
      </c>
      <c r="K34" s="124" t="s">
        <v>294</v>
      </c>
      <c r="L34" s="125">
        <v>1</v>
      </c>
      <c r="M34" s="126" t="str">
        <f>Scheids!$F$18</f>
        <v>Andrew Kube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J4</v>
      </c>
      <c r="F36" s="121"/>
      <c r="G36" s="118" t="s">
        <v>294</v>
      </c>
      <c r="H36" s="121" t="str">
        <f>$A$41</f>
        <v>Eglantier-V J2</v>
      </c>
      <c r="I36" s="122"/>
      <c r="J36" s="123"/>
      <c r="K36" s="124" t="s">
        <v>294</v>
      </c>
      <c r="L36" s="125"/>
      <c r="M36" s="126" t="str">
        <f>Scheids!$D$18</f>
        <v>Martin van Blitterswijk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DSV J3</v>
      </c>
      <c r="F37" s="121"/>
      <c r="G37" s="118" t="s">
        <v>294</v>
      </c>
      <c r="H37" s="121" t="str">
        <f>$A$42</f>
        <v>Max J7</v>
      </c>
      <c r="I37" s="122"/>
      <c r="J37" s="123"/>
      <c r="K37" s="124" t="s">
        <v>294</v>
      </c>
      <c r="L37" s="125"/>
      <c r="M37" s="126" t="str">
        <f>Scheids!$F$18</f>
        <v>Andrew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Maria J7</v>
      </c>
      <c r="F38" s="136"/>
      <c r="G38" s="133" t="s">
        <v>294</v>
      </c>
      <c r="H38" s="136" t="str">
        <f>$A$44</f>
        <v>Freinet J3</v>
      </c>
      <c r="I38" s="137"/>
      <c r="J38" s="138"/>
      <c r="K38" s="139" t="s">
        <v>294</v>
      </c>
      <c r="L38" s="140"/>
      <c r="M38" s="141" t="str">
        <f>Scheids!$F$18</f>
        <v>Andrew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Scholen!$H$24</f>
        <v>Eglantier-V J2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0</v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7</v>
      </c>
      <c r="Q41" s="152">
        <f t="shared" ref="Q41:Q48" si="0">COUNT(E41:N41)</f>
        <v>5</v>
      </c>
      <c r="R41" s="152">
        <f>COUNTIFS(E41:N41,3)</f>
        <v>2</v>
      </c>
      <c r="S41" s="152">
        <f>COUNTIFS(E41:N41,0)</f>
        <v>2</v>
      </c>
      <c r="T41" s="152">
        <f>COUNTIFS(E41:N41,1)</f>
        <v>1</v>
      </c>
      <c r="U41" s="152">
        <f>J11+L18+J21+J23+L29+J34+L36</f>
        <v>6</v>
      </c>
      <c r="V41" s="152">
        <f>L11+J18+L21+L23+J29+L34+J36</f>
        <v>4</v>
      </c>
      <c r="W41" s="152">
        <f>Q11+R18+Q21+Q23+R29+Q34+R36</f>
        <v>5</v>
      </c>
      <c r="X41" s="129">
        <f t="shared" ref="X41:X48" si="1">IF(Y41="",IF(O41&lt;&gt;"",_xlfn.RANK.EQ(O41,$O$41:$O$48),""),Y41)</f>
        <v>5</v>
      </c>
    </row>
    <row r="42" spans="1:24" ht="18.75" customHeight="1" x14ac:dyDescent="0.3">
      <c r="A42" s="159" t="str">
        <f>Scholen!$H$25</f>
        <v>Max J7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0</v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5</v>
      </c>
      <c r="R42" s="152">
        <f t="shared" ref="R42:R48" si="2">COUNTIFS(E42:N42,3)</f>
        <v>1</v>
      </c>
      <c r="S42" s="152">
        <f t="shared" ref="S42:S48" si="3">COUNTIFS(E42:N42,0)</f>
        <v>4</v>
      </c>
      <c r="T42" s="152">
        <f t="shared" ref="T42:T48" si="4">COUNTIFS(E42:N42,1)</f>
        <v>0</v>
      </c>
      <c r="U42" s="152">
        <f>L11+J15+L19+J25+J28+J33+L37</f>
        <v>1</v>
      </c>
      <c r="V42" s="152">
        <f>J11+L15+J19+L25+L28+L33+J37</f>
        <v>12</v>
      </c>
      <c r="W42" s="152">
        <f>R11+Q15+R19+Q25+Q28+Q33+R37</f>
        <v>6</v>
      </c>
      <c r="X42" s="129">
        <f t="shared" si="1"/>
        <v>6</v>
      </c>
    </row>
    <row r="43" spans="1:24" ht="18.75" customHeight="1" x14ac:dyDescent="0.3">
      <c r="A43" s="154" t="str">
        <f>Scholen!$H$26</f>
        <v>Vermeer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0</v>
      </c>
      <c r="Q43" s="152">
        <f t="shared" si="0"/>
        <v>6</v>
      </c>
      <c r="R43" s="152">
        <f t="shared" si="2"/>
        <v>0</v>
      </c>
      <c r="S43" s="152">
        <f t="shared" si="3"/>
        <v>6</v>
      </c>
      <c r="T43" s="152">
        <f t="shared" si="4"/>
        <v>0</v>
      </c>
      <c r="U43" s="152">
        <f>J12+L15+J20+L23+J27+J32+L35</f>
        <v>0</v>
      </c>
      <c r="V43" s="152">
        <f>L12+J15+L20+J23+L27+L32+J35</f>
        <v>13</v>
      </c>
      <c r="W43" s="152">
        <f>Q12+R15+Q20+R23+Q27+Q32+R35</f>
        <v>7</v>
      </c>
      <c r="X43" s="129">
        <f t="shared" si="1"/>
        <v>7</v>
      </c>
    </row>
    <row r="44" spans="1:24" ht="18.75" customHeight="1" x14ac:dyDescent="0.3">
      <c r="A44" s="174" t="str">
        <f>Scholen!$H$27</f>
        <v>Freinet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10</v>
      </c>
      <c r="Q44" s="152">
        <f t="shared" si="0"/>
        <v>5</v>
      </c>
      <c r="R44" s="152">
        <f t="shared" si="2"/>
        <v>3</v>
      </c>
      <c r="S44" s="152">
        <f t="shared" si="3"/>
        <v>1</v>
      </c>
      <c r="T44" s="152">
        <f t="shared" si="4"/>
        <v>1</v>
      </c>
      <c r="U44" s="152">
        <f>L12+J16+J19+L24+J29+L31+L38</f>
        <v>6</v>
      </c>
      <c r="V44" s="152">
        <f>J12+L16+L19+J24+L29+J31+J38</f>
        <v>2</v>
      </c>
      <c r="W44" s="152">
        <f>R12+Q16+Q19+R24+Q29+R31+R38</f>
        <v>6</v>
      </c>
      <c r="X44" s="129">
        <f t="shared" si="1"/>
        <v>2</v>
      </c>
    </row>
    <row r="45" spans="1:24" ht="18.75" customHeight="1" x14ac:dyDescent="0.3">
      <c r="A45" s="154" t="str">
        <f>Scholen!$H$28</f>
        <v>DSV J3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9</v>
      </c>
      <c r="Q45" s="152">
        <f t="shared" si="0"/>
        <v>5</v>
      </c>
      <c r="R45" s="152">
        <f t="shared" si="2"/>
        <v>3</v>
      </c>
      <c r="S45" s="152">
        <f t="shared" si="3"/>
        <v>2</v>
      </c>
      <c r="T45" s="152">
        <f t="shared" si="4"/>
        <v>0</v>
      </c>
      <c r="U45" s="152">
        <f>J13+L16+L20+J26+L30+L34+J37</f>
        <v>4</v>
      </c>
      <c r="V45" s="152">
        <f>L13+J16+J20+L26+J30+J34+L37</f>
        <v>4</v>
      </c>
      <c r="W45" s="152">
        <f>Q13+R16+R20+Q26+R30+R34+Q37</f>
        <v>6</v>
      </c>
      <c r="X45" s="129">
        <f t="shared" si="1"/>
        <v>3</v>
      </c>
    </row>
    <row r="46" spans="1:24" ht="18.75" customHeight="1" x14ac:dyDescent="0.3">
      <c r="A46" s="154" t="str">
        <f>Scholen!$H$29</f>
        <v>BMS J4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9</v>
      </c>
      <c r="Q46" s="152">
        <f t="shared" si="0"/>
        <v>5</v>
      </c>
      <c r="R46" s="152">
        <f t="shared" si="2"/>
        <v>3</v>
      </c>
      <c r="S46" s="152">
        <f t="shared" si="3"/>
        <v>2</v>
      </c>
      <c r="T46" s="152">
        <f t="shared" si="4"/>
        <v>0</v>
      </c>
      <c r="U46" s="152">
        <f>L13+J17+J22+J24+L27+L33+J36</f>
        <v>8</v>
      </c>
      <c r="V46" s="152">
        <f>J13+L17+L22+L24+J27+J33+L36</f>
        <v>4</v>
      </c>
      <c r="W46" s="152">
        <f>R13+Q17+Q22+Q24+R27+R33+Q36</f>
        <v>5</v>
      </c>
      <c r="X46" s="129">
        <f t="shared" si="1"/>
        <v>3</v>
      </c>
    </row>
    <row r="47" spans="1:24" ht="18.75" customHeight="1" x14ac:dyDescent="0.3">
      <c r="A47" s="154" t="str">
        <f>IF(Scholen!$H$30&lt;&gt;"",Scholen!$H$30,"")</f>
        <v>Maria J7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15</v>
      </c>
      <c r="Q47" s="152">
        <f t="shared" si="0"/>
        <v>5</v>
      </c>
      <c r="R47" s="152">
        <f t="shared" si="2"/>
        <v>5</v>
      </c>
      <c r="S47" s="152">
        <f t="shared" si="3"/>
        <v>0</v>
      </c>
      <c r="T47" s="152">
        <f t="shared" si="4"/>
        <v>0</v>
      </c>
      <c r="U47" s="152">
        <f>J14+L17+L21+L25+J30+L32+J38</f>
        <v>15</v>
      </c>
      <c r="V47" s="152">
        <f>L14+J17+J21+J25+L30+J32+L38</f>
        <v>1</v>
      </c>
      <c r="W47" s="152">
        <f>Q14+R17+R21+R25+Q30+R32+Q38</f>
        <v>6</v>
      </c>
      <c r="X47" s="129">
        <f t="shared" si="1"/>
        <v>1</v>
      </c>
    </row>
    <row r="48" spans="1:24" ht="18.75" customHeight="1" x14ac:dyDescent="0.3">
      <c r="A48" s="154" t="str">
        <f>IF(Scholen!$H$31&lt;&gt;"",Scholen!$H$31,"")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4CE81-283C-48A1-9EA8-43C6046F4F46}">
  <sheetPr codeName="Blad16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Scholen!$J$22</f>
        <v>Jongens</v>
      </c>
      <c r="F8" s="81"/>
      <c r="G8" s="81"/>
      <c r="H8" s="82" t="s">
        <v>1</v>
      </c>
      <c r="I8" s="83" t="s">
        <v>93</v>
      </c>
      <c r="J8" s="81" t="s">
        <v>11</v>
      </c>
      <c r="K8" s="84">
        <f>Scholen!$K$21</f>
        <v>14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J8</v>
      </c>
      <c r="F11" s="107"/>
      <c r="G11" s="104" t="s">
        <v>294</v>
      </c>
      <c r="H11" s="107" t="str">
        <f>$A$42</f>
        <v>Maan J2</v>
      </c>
      <c r="I11" s="108"/>
      <c r="J11" s="109">
        <v>3</v>
      </c>
      <c r="K11" s="110" t="s">
        <v>294</v>
      </c>
      <c r="L11" s="111">
        <v>0</v>
      </c>
      <c r="M11" s="112" t="str">
        <f>Scheids!$D$19</f>
        <v>John Kortekaas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J8</v>
      </c>
      <c r="F12" s="121"/>
      <c r="G12" s="118" t="s">
        <v>294</v>
      </c>
      <c r="H12" s="121" t="str">
        <f>$A$44</f>
        <v>Gabriël J3</v>
      </c>
      <c r="I12" s="122"/>
      <c r="J12" s="123">
        <v>0</v>
      </c>
      <c r="K12" s="124" t="s">
        <v>294</v>
      </c>
      <c r="L12" s="125">
        <v>4</v>
      </c>
      <c r="M12" s="126" t="str">
        <f>Scheids!$D$19</f>
        <v>John Kortekaas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J3</v>
      </c>
      <c r="F13" s="121"/>
      <c r="G13" s="118" t="s">
        <v>294</v>
      </c>
      <c r="H13" s="121" t="str">
        <f>$A$46</f>
        <v>Mozaïek J5</v>
      </c>
      <c r="I13" s="122"/>
      <c r="J13" s="123">
        <v>0</v>
      </c>
      <c r="K13" s="124" t="s">
        <v>294</v>
      </c>
      <c r="L13" s="125">
        <v>2</v>
      </c>
      <c r="M13" s="126" t="str">
        <f>Scheids!$D$19</f>
        <v>John Kortekaas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J2</v>
      </c>
      <c r="F15" s="121"/>
      <c r="G15" s="118" t="s">
        <v>294</v>
      </c>
      <c r="H15" s="121" t="str">
        <f>$A$43</f>
        <v>Max J8</v>
      </c>
      <c r="I15" s="122"/>
      <c r="J15" s="123">
        <v>3</v>
      </c>
      <c r="K15" s="124" t="s">
        <v>294</v>
      </c>
      <c r="L15" s="125">
        <v>0</v>
      </c>
      <c r="M15" s="126" t="str">
        <f>Scheids!$F$19</f>
        <v>Robert vd Bosch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J3</v>
      </c>
      <c r="F16" s="121"/>
      <c r="G16" s="118" t="s">
        <v>294</v>
      </c>
      <c r="H16" s="121" t="str">
        <f>$A$45</f>
        <v>Maurits J3</v>
      </c>
      <c r="I16" s="122"/>
      <c r="J16" s="123">
        <v>3</v>
      </c>
      <c r="K16" s="124" t="s">
        <v>294</v>
      </c>
      <c r="L16" s="125">
        <v>0</v>
      </c>
      <c r="M16" s="126" t="str">
        <f>Scheids!$F$19</f>
        <v>Robert vd Bosch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Mozaïek J5</v>
      </c>
      <c r="F17" s="121"/>
      <c r="G17" s="118" t="s">
        <v>294</v>
      </c>
      <c r="H17" s="121" t="str">
        <f>$A$47</f>
        <v>Widar J3</v>
      </c>
      <c r="I17" s="122"/>
      <c r="J17" s="123">
        <v>1</v>
      </c>
      <c r="K17" s="124" t="s">
        <v>294</v>
      </c>
      <c r="L17" s="125">
        <v>1</v>
      </c>
      <c r="M17" s="126" t="str">
        <f>Scheids!$F$19</f>
        <v>Robert vd Bosch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J3</v>
      </c>
      <c r="F19" s="121"/>
      <c r="G19" s="118" t="s">
        <v>294</v>
      </c>
      <c r="H19" s="121" t="str">
        <f>$A$42</f>
        <v>Maan J2</v>
      </c>
      <c r="I19" s="122"/>
      <c r="J19" s="123">
        <v>4</v>
      </c>
      <c r="K19" s="124" t="s">
        <v>294</v>
      </c>
      <c r="L19" s="125">
        <v>0</v>
      </c>
      <c r="M19" s="126" t="str">
        <f>Scheids!$D$19</f>
        <v>John Kortekaas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J8</v>
      </c>
      <c r="F20" s="121"/>
      <c r="G20" s="118" t="s">
        <v>294</v>
      </c>
      <c r="H20" s="121" t="str">
        <f>$A$45</f>
        <v>Maurits J3</v>
      </c>
      <c r="I20" s="122"/>
      <c r="J20" s="123">
        <v>0</v>
      </c>
      <c r="K20" s="124" t="s">
        <v>294</v>
      </c>
      <c r="L20" s="125">
        <v>0</v>
      </c>
      <c r="M20" s="126" t="str">
        <f>Scheids!$D$19</f>
        <v>John Kortekaas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J8</v>
      </c>
      <c r="F21" s="121"/>
      <c r="G21" s="118" t="s">
        <v>294</v>
      </c>
      <c r="H21" s="121" t="str">
        <f>$A$47</f>
        <v>Widar J3</v>
      </c>
      <c r="I21" s="122"/>
      <c r="J21" s="123">
        <v>2</v>
      </c>
      <c r="K21" s="124" t="s">
        <v>294</v>
      </c>
      <c r="L21" s="125">
        <v>1</v>
      </c>
      <c r="M21" s="126" t="str">
        <f>Scheids!$D$19</f>
        <v>John Kortekaas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J8</v>
      </c>
      <c r="F23" s="121"/>
      <c r="G23" s="118" t="s">
        <v>294</v>
      </c>
      <c r="H23" s="121" t="str">
        <f>$A$43</f>
        <v>Max J8</v>
      </c>
      <c r="I23" s="122"/>
      <c r="J23" s="123">
        <v>2</v>
      </c>
      <c r="K23" s="124" t="s">
        <v>294</v>
      </c>
      <c r="L23" s="125">
        <v>0</v>
      </c>
      <c r="M23" s="126" t="str">
        <f>Scheids!$F$19</f>
        <v>Robert vd Bosch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Mozaïek J5</v>
      </c>
      <c r="F24" s="121"/>
      <c r="G24" s="118" t="s">
        <v>294</v>
      </c>
      <c r="H24" s="121" t="str">
        <f>$A$44</f>
        <v>Gabriël J3</v>
      </c>
      <c r="I24" s="122"/>
      <c r="J24" s="123">
        <v>0</v>
      </c>
      <c r="K24" s="124" t="s">
        <v>294</v>
      </c>
      <c r="L24" s="125">
        <v>3</v>
      </c>
      <c r="M24" s="126" t="str">
        <f>Scheids!$F$19</f>
        <v>Robert vd Bosch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J2</v>
      </c>
      <c r="F25" s="121"/>
      <c r="G25" s="118" t="s">
        <v>294</v>
      </c>
      <c r="H25" s="121" t="str">
        <f>$A$47</f>
        <v>Widar J3</v>
      </c>
      <c r="I25" s="122"/>
      <c r="J25" s="123">
        <v>0</v>
      </c>
      <c r="K25" s="124" t="s">
        <v>294</v>
      </c>
      <c r="L25" s="125">
        <v>1</v>
      </c>
      <c r="M25" s="126" t="str">
        <f>Scheids!$F$19</f>
        <v>Robert vd Bosch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J8</v>
      </c>
      <c r="F27" s="121"/>
      <c r="G27" s="118" t="s">
        <v>294</v>
      </c>
      <c r="H27" s="121" t="str">
        <f>$A$46</f>
        <v>Mozaïek J5</v>
      </c>
      <c r="I27" s="122"/>
      <c r="J27" s="123">
        <v>0</v>
      </c>
      <c r="K27" s="124" t="s">
        <v>294</v>
      </c>
      <c r="L27" s="125">
        <v>2</v>
      </c>
      <c r="M27" s="126" t="str">
        <f>Scheids!$D$19</f>
        <v>John Kortekaas</v>
      </c>
      <c r="N27" s="127"/>
      <c r="O27" s="128"/>
      <c r="Q27" s="129">
        <v>1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J3</v>
      </c>
      <c r="F29" s="121"/>
      <c r="G29" s="118" t="s">
        <v>294</v>
      </c>
      <c r="H29" s="121" t="str">
        <f>$A$41</f>
        <v>Maria J8</v>
      </c>
      <c r="I29" s="122"/>
      <c r="J29" s="123">
        <v>0</v>
      </c>
      <c r="K29" s="124" t="s">
        <v>294</v>
      </c>
      <c r="L29" s="125">
        <v>2</v>
      </c>
      <c r="M29" s="126" t="str">
        <f>Scheids!$D$19</f>
        <v>John Kortekaas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J3</v>
      </c>
      <c r="F30" s="121"/>
      <c r="G30" s="118" t="s">
        <v>294</v>
      </c>
      <c r="H30" s="121" t="str">
        <f>$A$45</f>
        <v>Maurits J3</v>
      </c>
      <c r="I30" s="122"/>
      <c r="J30" s="123">
        <v>0</v>
      </c>
      <c r="K30" s="124" t="s">
        <v>294</v>
      </c>
      <c r="L30" s="125">
        <v>0</v>
      </c>
      <c r="M30" s="126" t="str">
        <f>Scheids!$D$19</f>
        <v>John Kortekaas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J8</v>
      </c>
      <c r="F32" s="121"/>
      <c r="G32" s="118" t="s">
        <v>294</v>
      </c>
      <c r="H32" s="121" t="str">
        <f>$A$47</f>
        <v>Widar J3</v>
      </c>
      <c r="I32" s="122"/>
      <c r="J32" s="123">
        <v>1</v>
      </c>
      <c r="K32" s="124" t="s">
        <v>294</v>
      </c>
      <c r="L32" s="125">
        <v>1</v>
      </c>
      <c r="M32" s="126" t="str">
        <f>Scheids!$F$19</f>
        <v>Robert vd Bosch</v>
      </c>
      <c r="N32" s="127"/>
      <c r="O32" s="128"/>
      <c r="Q32" s="129">
        <v>2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J2</v>
      </c>
      <c r="F33" s="121"/>
      <c r="G33" s="118" t="s">
        <v>294</v>
      </c>
      <c r="H33" s="121" t="str">
        <f>$A$46</f>
        <v>Mozaïek J5</v>
      </c>
      <c r="I33" s="122"/>
      <c r="J33" s="123">
        <v>1</v>
      </c>
      <c r="K33" s="124" t="s">
        <v>294</v>
      </c>
      <c r="L33" s="125">
        <v>0</v>
      </c>
      <c r="M33" s="126" t="str">
        <f>Scheids!$F$19</f>
        <v>Robert vd Bosch</v>
      </c>
      <c r="N33" s="127"/>
      <c r="O33" s="128"/>
      <c r="Q33" s="129">
        <v>2</v>
      </c>
      <c r="R33" s="129">
        <v>2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J8</v>
      </c>
      <c r="F34" s="121"/>
      <c r="G34" s="118" t="s">
        <v>294</v>
      </c>
      <c r="H34" s="121" t="str">
        <f>$A$45</f>
        <v>Maurits J3</v>
      </c>
      <c r="I34" s="122"/>
      <c r="J34" s="123">
        <v>3</v>
      </c>
      <c r="K34" s="124" t="s">
        <v>294</v>
      </c>
      <c r="L34" s="125">
        <v>0</v>
      </c>
      <c r="M34" s="126" t="str">
        <f>Scheids!$F$19</f>
        <v>Robert vd Bosch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Mozaïek J5</v>
      </c>
      <c r="F36" s="121"/>
      <c r="G36" s="118" t="s">
        <v>294</v>
      </c>
      <c r="H36" s="121" t="str">
        <f>$A$41</f>
        <v>Maria J8</v>
      </c>
      <c r="I36" s="122"/>
      <c r="J36" s="123"/>
      <c r="K36" s="124" t="s">
        <v>294</v>
      </c>
      <c r="L36" s="125"/>
      <c r="M36" s="126" t="str">
        <f>Scheids!$D$19</f>
        <v>John Kortekaas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J3</v>
      </c>
      <c r="F37" s="121"/>
      <c r="G37" s="118" t="s">
        <v>294</v>
      </c>
      <c r="H37" s="121" t="str">
        <f>$A$42</f>
        <v>Maan J2</v>
      </c>
      <c r="I37" s="122"/>
      <c r="J37" s="123"/>
      <c r="K37" s="124" t="s">
        <v>294</v>
      </c>
      <c r="L37" s="125"/>
      <c r="M37" s="126" t="str">
        <f>Scheids!$F$19</f>
        <v>Robert vd Bosch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J3</v>
      </c>
      <c r="F38" s="136"/>
      <c r="G38" s="133" t="s">
        <v>294</v>
      </c>
      <c r="H38" s="136" t="str">
        <f>$A$44</f>
        <v>Gabriël J3</v>
      </c>
      <c r="I38" s="137"/>
      <c r="J38" s="138"/>
      <c r="K38" s="139" t="s">
        <v>294</v>
      </c>
      <c r="L38" s="140"/>
      <c r="M38" s="141" t="str">
        <f>Scheids!$F$19</f>
        <v>Robert vd Bosch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Scholen!$J$24</f>
        <v>Maria J8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15</v>
      </c>
      <c r="Q41" s="152">
        <f t="shared" ref="Q41:Q48" si="0">COUNT(E41:N41)</f>
        <v>5</v>
      </c>
      <c r="R41" s="152">
        <f>COUNTIFS(E41:N41,3)</f>
        <v>5</v>
      </c>
      <c r="S41" s="152">
        <f>COUNTIFS(E41:N41,0)</f>
        <v>0</v>
      </c>
      <c r="T41" s="152">
        <f>COUNTIFS(E41:N41,1)</f>
        <v>0</v>
      </c>
      <c r="U41" s="152">
        <f>J11+L18+J21+J23+L29+J34+L36</f>
        <v>12</v>
      </c>
      <c r="V41" s="152">
        <f>L11+J18+L21+L23+J29+L34+J36</f>
        <v>1</v>
      </c>
      <c r="W41" s="152">
        <f>Q11+R18+Q21+Q23+R29+Q34+R36</f>
        <v>9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Scholen!$J$25</f>
        <v>Maan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6</v>
      </c>
      <c r="Q42" s="152">
        <f t="shared" si="0"/>
        <v>5</v>
      </c>
      <c r="R42" s="152">
        <f t="shared" ref="R42:R48" si="2">COUNTIFS(E42:N42,3)</f>
        <v>2</v>
      </c>
      <c r="S42" s="152">
        <f t="shared" ref="S42:S48" si="3">COUNTIFS(E42:N42,0)</f>
        <v>3</v>
      </c>
      <c r="T42" s="152">
        <f t="shared" ref="T42:T48" si="4">COUNTIFS(E42:N42,1)</f>
        <v>0</v>
      </c>
      <c r="U42" s="152">
        <f>L11+J15+L19+J25+J28+J33+L37</f>
        <v>4</v>
      </c>
      <c r="V42" s="152">
        <f>J11+L15+J19+L25+L28+L33+J37</f>
        <v>8</v>
      </c>
      <c r="W42" s="152">
        <f>R11+Q15+R19+Q25+Q28+Q33+R37</f>
        <v>9</v>
      </c>
      <c r="X42" s="129">
        <f t="shared" si="1"/>
        <v>4</v>
      </c>
    </row>
    <row r="43" spans="1:24" ht="18.75" customHeight="1" x14ac:dyDescent="0.3">
      <c r="A43" s="154" t="str">
        <f>Scholen!$J$26</f>
        <v>Max J8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2</v>
      </c>
      <c r="Q43" s="152">
        <f t="shared" si="0"/>
        <v>6</v>
      </c>
      <c r="R43" s="152">
        <f t="shared" si="2"/>
        <v>0</v>
      </c>
      <c r="S43" s="152">
        <f t="shared" si="3"/>
        <v>4</v>
      </c>
      <c r="T43" s="152">
        <f t="shared" si="4"/>
        <v>2</v>
      </c>
      <c r="U43" s="152">
        <f>J12+L15+J20+L23+J27+J32+L35</f>
        <v>1</v>
      </c>
      <c r="V43" s="152">
        <f>L12+J15+L20+J23+L27+L32+J35</f>
        <v>12</v>
      </c>
      <c r="W43" s="152">
        <f>Q12+R15+Q20+R23+Q27+Q32+R35</f>
        <v>10</v>
      </c>
      <c r="X43" s="129">
        <f t="shared" si="1"/>
        <v>6</v>
      </c>
    </row>
    <row r="44" spans="1:24" ht="18.75" customHeight="1" x14ac:dyDescent="0.3">
      <c r="A44" s="161" t="str">
        <f>Scholen!$J$27</f>
        <v>Gabriël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12</v>
      </c>
      <c r="Q44" s="152">
        <f t="shared" si="0"/>
        <v>5</v>
      </c>
      <c r="R44" s="152">
        <f t="shared" si="2"/>
        <v>4</v>
      </c>
      <c r="S44" s="152">
        <f t="shared" si="3"/>
        <v>1</v>
      </c>
      <c r="T44" s="152">
        <f t="shared" si="4"/>
        <v>0</v>
      </c>
      <c r="U44" s="152">
        <f>L12+J16+J19+L24+J29+L31+L38</f>
        <v>14</v>
      </c>
      <c r="V44" s="152">
        <f>J12+L16+L19+J24+L29+J31+J38</f>
        <v>2</v>
      </c>
      <c r="W44" s="152">
        <f>R12+Q16+Q19+R24+Q29+R31+R38</f>
        <v>9</v>
      </c>
      <c r="X44" s="129">
        <f t="shared" si="1"/>
        <v>2</v>
      </c>
    </row>
    <row r="45" spans="1:24" ht="18.75" customHeight="1" x14ac:dyDescent="0.3">
      <c r="A45" s="154" t="str">
        <f>Scholen!$J$28</f>
        <v>Maurits J3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0</v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2</v>
      </c>
      <c r="Q45" s="152">
        <f t="shared" si="0"/>
        <v>5</v>
      </c>
      <c r="R45" s="152">
        <f t="shared" si="2"/>
        <v>0</v>
      </c>
      <c r="S45" s="152">
        <f t="shared" si="3"/>
        <v>3</v>
      </c>
      <c r="T45" s="152">
        <f t="shared" si="4"/>
        <v>2</v>
      </c>
      <c r="U45" s="152">
        <f>J13+L16+L20+J26+L30+L34+J37</f>
        <v>0</v>
      </c>
      <c r="V45" s="152">
        <f>L13+J16+J20+L26+J30+J34+L37</f>
        <v>8</v>
      </c>
      <c r="W45" s="152">
        <f>Q13+R16+R20+Q26+R30+R34+Q37</f>
        <v>8</v>
      </c>
      <c r="X45" s="129">
        <f t="shared" si="1"/>
        <v>6</v>
      </c>
    </row>
    <row r="46" spans="1:24" ht="18.75" customHeight="1" x14ac:dyDescent="0.3">
      <c r="A46" s="154" t="str">
        <f>Scholen!$J$29</f>
        <v>Mozaïek J5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0</v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7</v>
      </c>
      <c r="Q46" s="152">
        <f t="shared" si="0"/>
        <v>5</v>
      </c>
      <c r="R46" s="152">
        <f t="shared" si="2"/>
        <v>2</v>
      </c>
      <c r="S46" s="152">
        <f t="shared" si="3"/>
        <v>2</v>
      </c>
      <c r="T46" s="152">
        <f t="shared" si="4"/>
        <v>1</v>
      </c>
      <c r="U46" s="152">
        <f>L13+J17+J22+J24+L27+L33+J36</f>
        <v>5</v>
      </c>
      <c r="V46" s="152">
        <f>J13+L17+L22+L24+J27+J33+L36</f>
        <v>5</v>
      </c>
      <c r="W46" s="152">
        <f>R13+Q17+Q22+Q24+R27+R33+Q36</f>
        <v>10</v>
      </c>
      <c r="X46" s="129">
        <f t="shared" si="1"/>
        <v>3</v>
      </c>
    </row>
    <row r="47" spans="1:24" ht="18.75" customHeight="1" x14ac:dyDescent="0.3">
      <c r="A47" s="154" t="str">
        <f>IF(Scholen!$J$30&lt;&gt;"",Scholen!$J$30,"")</f>
        <v>Widar J3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6</v>
      </c>
      <c r="Q47" s="152">
        <f t="shared" si="0"/>
        <v>5</v>
      </c>
      <c r="R47" s="152">
        <f t="shared" si="2"/>
        <v>1</v>
      </c>
      <c r="S47" s="152">
        <f t="shared" si="3"/>
        <v>1</v>
      </c>
      <c r="T47" s="152">
        <f t="shared" si="4"/>
        <v>3</v>
      </c>
      <c r="U47" s="152">
        <f>J14+L17+L21+L25+J30+L32+J38</f>
        <v>4</v>
      </c>
      <c r="V47" s="152">
        <f>L14+J17+J21+J25+L30+J32+L38</f>
        <v>4</v>
      </c>
      <c r="W47" s="152">
        <f>Q14+R17+R21+R25+Q30+R32+Q38</f>
        <v>10</v>
      </c>
      <c r="X47" s="129">
        <f t="shared" si="1"/>
        <v>4</v>
      </c>
    </row>
    <row r="48" spans="1:24" ht="18.75" customHeight="1" x14ac:dyDescent="0.3">
      <c r="A48" s="154" t="str">
        <f>IF(Scholen!$J$31&lt;&gt;"",Scholen!$J$31,"")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5D951-05B8-4A95-AA20-8DAFCF941B22}">
  <sheetPr codeName="Blad17"/>
  <dimension ref="A1:X48"/>
  <sheetViews>
    <sheetView topLeftCell="A32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Scholen!$L$22</f>
        <v>Jongens</v>
      </c>
      <c r="F8" s="81"/>
      <c r="G8" s="81"/>
      <c r="H8" s="82" t="s">
        <v>1</v>
      </c>
      <c r="I8" s="83" t="s">
        <v>94</v>
      </c>
      <c r="J8" s="81" t="s">
        <v>11</v>
      </c>
      <c r="K8" s="84">
        <f>Scholen!$M$21</f>
        <v>15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Oostpoort J1</v>
      </c>
      <c r="F11" s="107"/>
      <c r="G11" s="104" t="s">
        <v>294</v>
      </c>
      <c r="H11" s="107" t="str">
        <f>$A$42</f>
        <v>Maria J9</v>
      </c>
      <c r="I11" s="108"/>
      <c r="J11" s="109">
        <v>0</v>
      </c>
      <c r="K11" s="110" t="s">
        <v>294</v>
      </c>
      <c r="L11" s="111">
        <v>1</v>
      </c>
      <c r="M11" s="112" t="str">
        <f>Scheids!$D$20</f>
        <v>Bas Kers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Springwijs J3</v>
      </c>
      <c r="F12" s="121"/>
      <c r="G12" s="118" t="s">
        <v>294</v>
      </c>
      <c r="H12" s="121" t="str">
        <f>$A$44</f>
        <v>Vermeer J3</v>
      </c>
      <c r="I12" s="122"/>
      <c r="J12" s="123">
        <v>0</v>
      </c>
      <c r="K12" s="124" t="s">
        <v>294</v>
      </c>
      <c r="L12" s="125">
        <v>0</v>
      </c>
      <c r="M12" s="126" t="str">
        <f>Scheids!$D$20</f>
        <v>Bas Kers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Rembrandt J2</v>
      </c>
      <c r="F13" s="121"/>
      <c r="G13" s="118" t="s">
        <v>294</v>
      </c>
      <c r="H13" s="121" t="str">
        <f>$A$46</f>
        <v>Eglantier-B J2</v>
      </c>
      <c r="I13" s="122"/>
      <c r="J13" s="123">
        <v>0</v>
      </c>
      <c r="K13" s="124" t="s">
        <v>294</v>
      </c>
      <c r="L13" s="125">
        <v>1</v>
      </c>
      <c r="M13" s="126" t="str">
        <f>Scheids!$D$20</f>
        <v>Bas Kers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J9</v>
      </c>
      <c r="F15" s="121"/>
      <c r="G15" s="118" t="s">
        <v>294</v>
      </c>
      <c r="H15" s="121" t="str">
        <f>$A$43</f>
        <v>Springwijs J3</v>
      </c>
      <c r="I15" s="122"/>
      <c r="J15" s="123">
        <v>3</v>
      </c>
      <c r="K15" s="124" t="s">
        <v>294</v>
      </c>
      <c r="L15" s="125">
        <v>0</v>
      </c>
      <c r="M15" s="126" t="str">
        <f>Scheids!$F$20</f>
        <v>Iris Klein Bog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Vermeer J3</v>
      </c>
      <c r="F16" s="121"/>
      <c r="G16" s="118" t="s">
        <v>294</v>
      </c>
      <c r="H16" s="121" t="str">
        <f>$A$45</f>
        <v>Rembrandt J2</v>
      </c>
      <c r="I16" s="122"/>
      <c r="J16" s="123">
        <v>1</v>
      </c>
      <c r="K16" s="124" t="s">
        <v>294</v>
      </c>
      <c r="L16" s="125">
        <v>0</v>
      </c>
      <c r="M16" s="126" t="str">
        <f>Scheids!$F$20</f>
        <v>Iris Klein Bog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Eglantier-B J2</v>
      </c>
      <c r="F17" s="121"/>
      <c r="G17" s="118" t="s">
        <v>294</v>
      </c>
      <c r="H17" s="121" t="str">
        <f>$A$47</f>
        <v>Galjoen J2</v>
      </c>
      <c r="I17" s="122"/>
      <c r="J17" s="123">
        <v>0</v>
      </c>
      <c r="K17" s="124" t="s">
        <v>294</v>
      </c>
      <c r="L17" s="125">
        <v>5</v>
      </c>
      <c r="M17" s="126" t="str">
        <f>Scheids!$F$20</f>
        <v>Iris Klein Bog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Vermeer J3</v>
      </c>
      <c r="F19" s="121"/>
      <c r="G19" s="118" t="s">
        <v>294</v>
      </c>
      <c r="H19" s="121" t="str">
        <f>$A$42</f>
        <v>Maria J9</v>
      </c>
      <c r="I19" s="122"/>
      <c r="J19" s="123">
        <v>0</v>
      </c>
      <c r="K19" s="124" t="s">
        <v>294</v>
      </c>
      <c r="L19" s="125">
        <v>1</v>
      </c>
      <c r="M19" s="126" t="str">
        <f>Scheids!$D$20</f>
        <v>Bas Kers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Springwijs J3</v>
      </c>
      <c r="F20" s="121"/>
      <c r="G20" s="118" t="s">
        <v>294</v>
      </c>
      <c r="H20" s="121" t="str">
        <f>$A$45</f>
        <v>Rembrandt J2</v>
      </c>
      <c r="I20" s="122"/>
      <c r="J20" s="123">
        <v>2</v>
      </c>
      <c r="K20" s="124" t="s">
        <v>294</v>
      </c>
      <c r="L20" s="125">
        <v>0</v>
      </c>
      <c r="M20" s="126" t="str">
        <f>Scheids!$D$20</f>
        <v>Bas Kers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Oostpoort J1</v>
      </c>
      <c r="F21" s="121"/>
      <c r="G21" s="118" t="s">
        <v>294</v>
      </c>
      <c r="H21" s="121" t="str">
        <f>$A$47</f>
        <v>Galjoen J2</v>
      </c>
      <c r="I21" s="122"/>
      <c r="J21" s="123">
        <v>0</v>
      </c>
      <c r="K21" s="124" t="s">
        <v>294</v>
      </c>
      <c r="L21" s="125">
        <v>3</v>
      </c>
      <c r="M21" s="126" t="str">
        <f>Scheids!$D$20</f>
        <v>Bas Kers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Oostpoort J1</v>
      </c>
      <c r="F23" s="121"/>
      <c r="G23" s="118" t="s">
        <v>294</v>
      </c>
      <c r="H23" s="121" t="str">
        <f>$A$43</f>
        <v>Springwijs J3</v>
      </c>
      <c r="I23" s="122"/>
      <c r="J23" s="123">
        <v>0</v>
      </c>
      <c r="K23" s="124" t="s">
        <v>294</v>
      </c>
      <c r="L23" s="125">
        <v>0</v>
      </c>
      <c r="M23" s="126" t="str">
        <f>Scheids!$F$20</f>
        <v>Iris Klein Bog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Eglantier-B J2</v>
      </c>
      <c r="F24" s="121"/>
      <c r="G24" s="118" t="s">
        <v>294</v>
      </c>
      <c r="H24" s="121" t="str">
        <f>$A$44</f>
        <v>Vermeer J3</v>
      </c>
      <c r="I24" s="122"/>
      <c r="J24" s="123">
        <v>0</v>
      </c>
      <c r="K24" s="124" t="s">
        <v>294</v>
      </c>
      <c r="L24" s="125">
        <v>2</v>
      </c>
      <c r="M24" s="126" t="str">
        <f>Scheids!$F$20</f>
        <v>Iris Klein Bog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J9</v>
      </c>
      <c r="F25" s="121"/>
      <c r="G25" s="118" t="s">
        <v>294</v>
      </c>
      <c r="H25" s="121" t="str">
        <f>$A$47</f>
        <v>Galjoen J2</v>
      </c>
      <c r="I25" s="122"/>
      <c r="J25" s="123">
        <v>0</v>
      </c>
      <c r="K25" s="124" t="s">
        <v>294</v>
      </c>
      <c r="L25" s="125">
        <v>1</v>
      </c>
      <c r="M25" s="126" t="str">
        <f>Scheids!$F$20</f>
        <v>Iris Klein Bog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Springwijs J3</v>
      </c>
      <c r="F27" s="121"/>
      <c r="G27" s="118" t="s">
        <v>294</v>
      </c>
      <c r="H27" s="121" t="str">
        <f>$A$46</f>
        <v>Eglantier-B J2</v>
      </c>
      <c r="I27" s="122"/>
      <c r="J27" s="123">
        <v>0</v>
      </c>
      <c r="K27" s="124" t="s">
        <v>294</v>
      </c>
      <c r="L27" s="125">
        <v>1</v>
      </c>
      <c r="M27" s="126" t="str">
        <f>Scheids!$D$20</f>
        <v>Bas Kers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Vermeer J3</v>
      </c>
      <c r="F29" s="121"/>
      <c r="G29" s="118" t="s">
        <v>294</v>
      </c>
      <c r="H29" s="121" t="str">
        <f>$A$41</f>
        <v>Oostpoort J1</v>
      </c>
      <c r="I29" s="122"/>
      <c r="J29" s="123">
        <v>0</v>
      </c>
      <c r="K29" s="124" t="s">
        <v>294</v>
      </c>
      <c r="L29" s="125">
        <v>1</v>
      </c>
      <c r="M29" s="126" t="str">
        <f>Scheids!$D$20</f>
        <v>Bas Kers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1" t="str">
        <f>$A$47</f>
        <v>Galjoen J2</v>
      </c>
      <c r="F30" s="121"/>
      <c r="G30" s="118" t="s">
        <v>294</v>
      </c>
      <c r="H30" s="121" t="str">
        <f>$A$45</f>
        <v>Rembrandt J2</v>
      </c>
      <c r="I30" s="122"/>
      <c r="J30" s="123">
        <v>3</v>
      </c>
      <c r="K30" s="124" t="s">
        <v>294</v>
      </c>
      <c r="L30" s="125">
        <v>0</v>
      </c>
      <c r="M30" s="126" t="str">
        <f>Scheids!$D$20</f>
        <v>Bas Kers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Springwijs J3</v>
      </c>
      <c r="F32" s="121"/>
      <c r="G32" s="118" t="s">
        <v>294</v>
      </c>
      <c r="H32" s="121" t="str">
        <f>$A$47</f>
        <v>Galjoen J2</v>
      </c>
      <c r="I32" s="122"/>
      <c r="J32" s="123">
        <v>0</v>
      </c>
      <c r="K32" s="124" t="s">
        <v>294</v>
      </c>
      <c r="L32" s="125">
        <v>3</v>
      </c>
      <c r="M32" s="126" t="str">
        <f>Scheids!$F$20</f>
        <v>Iris Klein Bog</v>
      </c>
      <c r="N32" s="127"/>
      <c r="O32" s="128"/>
      <c r="Q32" s="129">
        <v>2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J9</v>
      </c>
      <c r="F33" s="121"/>
      <c r="G33" s="118" t="s">
        <v>294</v>
      </c>
      <c r="H33" s="121" t="str">
        <f>$A$46</f>
        <v>Eglantier-B J2</v>
      </c>
      <c r="I33" s="122"/>
      <c r="J33" s="123">
        <v>1</v>
      </c>
      <c r="K33" s="124" t="s">
        <v>294</v>
      </c>
      <c r="L33" s="125">
        <v>0</v>
      </c>
      <c r="M33" s="126" t="str">
        <f>Scheids!$F$20</f>
        <v>Iris Klein Bog</v>
      </c>
      <c r="N33" s="127"/>
      <c r="O33" s="128"/>
      <c r="Q33" s="129">
        <v>2</v>
      </c>
      <c r="R33" s="129">
        <v>2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Oostpoort J1</v>
      </c>
      <c r="F34" s="121"/>
      <c r="G34" s="118" t="s">
        <v>294</v>
      </c>
      <c r="H34" s="121" t="str">
        <f>$A$45</f>
        <v>Rembrandt J2</v>
      </c>
      <c r="I34" s="122"/>
      <c r="J34" s="123">
        <v>2</v>
      </c>
      <c r="K34" s="124" t="s">
        <v>294</v>
      </c>
      <c r="L34" s="125">
        <v>0</v>
      </c>
      <c r="M34" s="126" t="str">
        <f>Scheids!$F$20</f>
        <v>Iris Klein Bog</v>
      </c>
      <c r="N34" s="127"/>
      <c r="O34" s="128"/>
      <c r="Q34" s="129">
        <v>2</v>
      </c>
      <c r="R34" s="129">
        <v>2</v>
      </c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Eglantier-B J2</v>
      </c>
      <c r="F36" s="121"/>
      <c r="G36" s="118" t="s">
        <v>294</v>
      </c>
      <c r="H36" s="121" t="str">
        <f>$A$41</f>
        <v>Oostpoort J1</v>
      </c>
      <c r="I36" s="122"/>
      <c r="J36" s="123"/>
      <c r="K36" s="124" t="s">
        <v>294</v>
      </c>
      <c r="L36" s="125"/>
      <c r="M36" s="126" t="str">
        <f>Scheids!$D$20</f>
        <v>Bas Kers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Rembrandt J2</v>
      </c>
      <c r="F37" s="121"/>
      <c r="G37" s="118" t="s">
        <v>294</v>
      </c>
      <c r="H37" s="121" t="str">
        <f>$A$42</f>
        <v>Maria J9</v>
      </c>
      <c r="I37" s="122"/>
      <c r="J37" s="123"/>
      <c r="K37" s="124" t="s">
        <v>294</v>
      </c>
      <c r="L37" s="125"/>
      <c r="M37" s="126" t="str">
        <f>Scheids!$F$20</f>
        <v>Iris Klein Bog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Galjoen J2</v>
      </c>
      <c r="F38" s="136"/>
      <c r="G38" s="133" t="s">
        <v>294</v>
      </c>
      <c r="H38" s="136" t="str">
        <f>$A$44</f>
        <v>Vermeer J3</v>
      </c>
      <c r="I38" s="137"/>
      <c r="J38" s="138"/>
      <c r="K38" s="139" t="s">
        <v>294</v>
      </c>
      <c r="L38" s="140"/>
      <c r="M38" s="141" t="str">
        <f>Scheids!$F$20</f>
        <v>Iris Klein Bog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Scholen!$L$24</f>
        <v>Oostpoort J1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7</v>
      </c>
      <c r="Q41" s="152">
        <f t="shared" ref="Q41:Q48" si="0">COUNT(E41:N41)</f>
        <v>5</v>
      </c>
      <c r="R41" s="152">
        <f>COUNTIFS(E41:N41,3)</f>
        <v>2</v>
      </c>
      <c r="S41" s="152">
        <f>COUNTIFS(E41:N41,0)</f>
        <v>2</v>
      </c>
      <c r="T41" s="152">
        <f>COUNTIFS(E41:N41,1)</f>
        <v>1</v>
      </c>
      <c r="U41" s="152">
        <f>J11+L18+J21+J23+L29+J34+L36</f>
        <v>3</v>
      </c>
      <c r="V41" s="152">
        <f>L11+J18+L21+L23+J29+L34+J36</f>
        <v>4</v>
      </c>
      <c r="W41" s="152">
        <f>Q11+R18+Q21+Q23+R29+Q34+R36</f>
        <v>10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Scholen!$L$25</f>
        <v>Maria J9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12</v>
      </c>
      <c r="Q42" s="152">
        <f t="shared" si="0"/>
        <v>5</v>
      </c>
      <c r="R42" s="152">
        <f t="shared" ref="R42:R48" si="2">COUNTIFS(E42:N42,3)</f>
        <v>4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6</v>
      </c>
      <c r="V42" s="152">
        <f>J11+L15+J19+L25+L28+L33+J37</f>
        <v>1</v>
      </c>
      <c r="W42" s="152">
        <f>R11+Q15+R19+Q25+Q28+Q33+R37</f>
        <v>10</v>
      </c>
      <c r="X42" s="129">
        <f t="shared" si="1"/>
        <v>2</v>
      </c>
    </row>
    <row r="43" spans="1:24" ht="18.75" customHeight="1" x14ac:dyDescent="0.3">
      <c r="A43" s="154" t="str">
        <f>Scholen!$L$26</f>
        <v>Springwijs J3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5</v>
      </c>
      <c r="Q43" s="152">
        <f t="shared" si="0"/>
        <v>6</v>
      </c>
      <c r="R43" s="152">
        <f t="shared" si="2"/>
        <v>1</v>
      </c>
      <c r="S43" s="152">
        <f t="shared" si="3"/>
        <v>3</v>
      </c>
      <c r="T43" s="152">
        <f t="shared" si="4"/>
        <v>2</v>
      </c>
      <c r="U43" s="152">
        <f>J12+L15+J20+L23+J27+J32+L35</f>
        <v>2</v>
      </c>
      <c r="V43" s="152">
        <f>L12+J15+L20+J23+L27+L32+J35</f>
        <v>7</v>
      </c>
      <c r="W43" s="152">
        <f>Q12+R15+Q20+R23+Q27+Q32+R35</f>
        <v>12</v>
      </c>
      <c r="X43" s="129">
        <f t="shared" si="1"/>
        <v>6</v>
      </c>
    </row>
    <row r="44" spans="1:24" ht="18.75" customHeight="1" x14ac:dyDescent="0.3">
      <c r="A44" s="161" t="str">
        <f>Scholen!$L$27</f>
        <v>Vermeer J3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7</v>
      </c>
      <c r="Q44" s="152">
        <f t="shared" si="0"/>
        <v>5</v>
      </c>
      <c r="R44" s="152">
        <f t="shared" si="2"/>
        <v>2</v>
      </c>
      <c r="S44" s="152">
        <f t="shared" si="3"/>
        <v>2</v>
      </c>
      <c r="T44" s="152">
        <f t="shared" si="4"/>
        <v>1</v>
      </c>
      <c r="U44" s="152">
        <f>L12+J16+J19+L24+J29+L31+L38</f>
        <v>3</v>
      </c>
      <c r="V44" s="152">
        <f>J12+L16+L19+J24+L29+J31+J38</f>
        <v>2</v>
      </c>
      <c r="W44" s="152">
        <f>R12+Q16+Q19+R24+Q29+R31+R38</f>
        <v>10</v>
      </c>
      <c r="X44" s="129">
        <f t="shared" si="1"/>
        <v>3</v>
      </c>
    </row>
    <row r="45" spans="1:24" ht="18.75" customHeight="1" x14ac:dyDescent="0.3">
      <c r="A45" s="154" t="str">
        <f>Scholen!$L$28</f>
        <v>Rembrandt J2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5</v>
      </c>
      <c r="R45" s="152">
        <f t="shared" si="2"/>
        <v>0</v>
      </c>
      <c r="S45" s="152">
        <f t="shared" si="3"/>
        <v>5</v>
      </c>
      <c r="T45" s="152">
        <f t="shared" si="4"/>
        <v>0</v>
      </c>
      <c r="U45" s="152">
        <f>J13+L16+L20+J26+L30+L34+J37</f>
        <v>0</v>
      </c>
      <c r="V45" s="152">
        <f>L13+J16+J20+L26+J30+J34+L37</f>
        <v>9</v>
      </c>
      <c r="W45" s="152">
        <f>Q13+R16+R20+Q26+R30+R34+Q37</f>
        <v>10</v>
      </c>
      <c r="X45" s="129">
        <f t="shared" si="1"/>
        <v>7</v>
      </c>
    </row>
    <row r="46" spans="1:24" ht="18.75" customHeight="1" x14ac:dyDescent="0.3">
      <c r="A46" s="154" t="str">
        <f>Scholen!$L$29</f>
        <v>Eglantier-B J2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0</v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6</v>
      </c>
      <c r="Q46" s="152">
        <f t="shared" si="0"/>
        <v>5</v>
      </c>
      <c r="R46" s="152">
        <f t="shared" si="2"/>
        <v>2</v>
      </c>
      <c r="S46" s="152">
        <f t="shared" si="3"/>
        <v>3</v>
      </c>
      <c r="T46" s="152">
        <f t="shared" si="4"/>
        <v>0</v>
      </c>
      <c r="U46" s="152">
        <f>L13+J17+J22+J24+L27+L33+J36</f>
        <v>2</v>
      </c>
      <c r="V46" s="152">
        <f>J13+L17+L22+L24+J27+J33+L36</f>
        <v>8</v>
      </c>
      <c r="W46" s="152">
        <f>R13+Q17+Q22+Q24+R27+R33+Q36</f>
        <v>10</v>
      </c>
      <c r="X46" s="129">
        <f t="shared" si="1"/>
        <v>5</v>
      </c>
    </row>
    <row r="47" spans="1:24" ht="18.75" customHeight="1" x14ac:dyDescent="0.3">
      <c r="A47" s="154" t="str">
        <f>IF(Scholen!$L$30&lt;&gt;"",Scholen!$L$30,"")</f>
        <v>Galjoen J2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15</v>
      </c>
      <c r="Q47" s="152">
        <f t="shared" si="0"/>
        <v>5</v>
      </c>
      <c r="R47" s="152">
        <f t="shared" si="2"/>
        <v>5</v>
      </c>
      <c r="S47" s="152">
        <f t="shared" si="3"/>
        <v>0</v>
      </c>
      <c r="T47" s="152">
        <f t="shared" si="4"/>
        <v>0</v>
      </c>
      <c r="U47" s="152">
        <f>J14+L17+L21+L25+J30+L32+J38</f>
        <v>15</v>
      </c>
      <c r="V47" s="152">
        <f>L14+J17+J21+J25+L30+J32+L38</f>
        <v>0</v>
      </c>
      <c r="W47" s="152">
        <f>Q14+R17+R21+R25+Q30+R32+Q38</f>
        <v>10</v>
      </c>
      <c r="X47" s="129">
        <f t="shared" si="1"/>
        <v>1</v>
      </c>
    </row>
    <row r="48" spans="1:24" ht="18.75" customHeight="1" x14ac:dyDescent="0.3">
      <c r="A48" s="154" t="str">
        <f>IF(Scholen!$L$31&lt;&gt;"",Scholen!$L$31,"")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896FE-1F10-4E29-831B-91EC4291F7E9}">
  <sheetPr codeName="Blad1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Scholen!$N$22</f>
        <v>0</v>
      </c>
      <c r="F8" s="81"/>
      <c r="G8" s="81"/>
      <c r="H8" s="82" t="s">
        <v>1</v>
      </c>
      <c r="I8" s="83" t="s">
        <v>95</v>
      </c>
      <c r="J8" s="81" t="s">
        <v>11</v>
      </c>
      <c r="K8" s="84">
        <f>Scholen!$O$21</f>
        <v>16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0</v>
      </c>
      <c r="K11" s="110" t="s">
        <v>294</v>
      </c>
      <c r="L11" s="111">
        <v>3</v>
      </c>
      <c r="M11" s="112">
        <f>Scheids!$D$21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0</v>
      </c>
      <c r="K12" s="124" t="s">
        <v>294</v>
      </c>
      <c r="L12" s="125">
        <v>3</v>
      </c>
      <c r="M12" s="126">
        <f>Scheids!$D$21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0</v>
      </c>
      <c r="M13" s="126">
        <f>Scheids!$D$21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2</v>
      </c>
      <c r="K15" s="124" t="s">
        <v>294</v>
      </c>
      <c r="L15" s="125">
        <v>0</v>
      </c>
      <c r="M15" s="126">
        <f>Scheids!$F$21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Scheids!$F$21</f>
        <v>0</v>
      </c>
      <c r="N16" s="127"/>
      <c r="O16" s="128"/>
      <c r="Q16" s="129">
        <v>1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3</v>
      </c>
      <c r="M17" s="126">
        <f>Scheids!$F$21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5">
        <v>2</v>
      </c>
      <c r="M19" s="126">
        <f>Scheids!$D$21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Scheids!$D$21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0</v>
      </c>
      <c r="K21" s="124" t="s">
        <v>294</v>
      </c>
      <c r="L21" s="125">
        <v>4</v>
      </c>
      <c r="M21" s="126">
        <f>Scheids!$D$21</f>
        <v>0</v>
      </c>
      <c r="N21" s="127"/>
      <c r="O21" s="128"/>
      <c r="Q21" s="129">
        <v>2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2</v>
      </c>
      <c r="M23" s="126">
        <f>Scheids!$F$21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0</v>
      </c>
      <c r="M24" s="126">
        <f>Scheids!$F$21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3</v>
      </c>
      <c r="K25" s="124" t="s">
        <v>294</v>
      </c>
      <c r="L25" s="125">
        <v>0</v>
      </c>
      <c r="M25" s="126">
        <f>Scheids!$F$21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5">
        <v>3</v>
      </c>
      <c r="M27" s="126">
        <f>Scheids!$D$21</f>
        <v>0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5</v>
      </c>
      <c r="K29" s="124" t="s">
        <v>294</v>
      </c>
      <c r="L29" s="125">
        <v>0</v>
      </c>
      <c r="M29" s="126">
        <f>Scheids!$D$21</f>
        <v>0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0</v>
      </c>
      <c r="M30" s="126">
        <f>Scheids!$D$21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Scheids!$F$21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3</v>
      </c>
      <c r="K33" s="124" t="s">
        <v>294</v>
      </c>
      <c r="L33" s="125">
        <v>0</v>
      </c>
      <c r="M33" s="126">
        <f>Scheids!$F$21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0</v>
      </c>
      <c r="K34" s="124" t="s">
        <v>294</v>
      </c>
      <c r="L34" s="125">
        <v>2</v>
      </c>
      <c r="M34" s="126">
        <f>Scheids!$F$21</f>
        <v>0</v>
      </c>
      <c r="N34" s="127"/>
      <c r="O34" s="128"/>
      <c r="Q34" s="129">
        <v>1</v>
      </c>
      <c r="R34" s="129">
        <v>2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3</v>
      </c>
      <c r="K36" s="124" t="s">
        <v>294</v>
      </c>
      <c r="L36" s="125">
        <v>0</v>
      </c>
      <c r="M36" s="126">
        <f>Scheids!$D$21</f>
        <v>0</v>
      </c>
      <c r="N36" s="127"/>
      <c r="O36" s="128"/>
      <c r="Q36" s="129">
        <v>1</v>
      </c>
      <c r="R36" s="129">
        <v>1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4</v>
      </c>
      <c r="M37" s="126">
        <f>Scheids!$F$21</f>
        <v>0</v>
      </c>
      <c r="N37" s="127"/>
      <c r="O37" s="128"/>
      <c r="Q37" s="129">
        <v>2</v>
      </c>
      <c r="R37" s="129">
        <v>0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Scheids!$F$21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Scholen!$N$24</f>
        <v>0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0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6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19</v>
      </c>
      <c r="W41" s="152">
        <f>Q11+R18+Q21+Q23+R29+Q34+R36</f>
        <v>8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>
        <f>Scholen!$N$25</f>
        <v>0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18</v>
      </c>
      <c r="Q42" s="152">
        <f t="shared" si="0"/>
        <v>6</v>
      </c>
      <c r="R42" s="152">
        <f t="shared" ref="R42:R48" si="2">COUNTIFS(E42:N42,3)</f>
        <v>6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17</v>
      </c>
      <c r="V42" s="152">
        <f>J11+L15+J19+L25+L28+L33+J37</f>
        <v>0</v>
      </c>
      <c r="W42" s="152">
        <f>R11+Q15+R19+Q25+Q28+Q33+R37</f>
        <v>7</v>
      </c>
      <c r="X42" s="129">
        <f t="shared" si="1"/>
        <v>1</v>
      </c>
    </row>
    <row r="43" spans="1:24" ht="18.75" customHeight="1" x14ac:dyDescent="0.3">
      <c r="A43" s="154">
        <f>Scholen!$N$26</f>
        <v>0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6</v>
      </c>
      <c r="R43" s="152">
        <f t="shared" si="2"/>
        <v>1</v>
      </c>
      <c r="S43" s="152">
        <f t="shared" si="3"/>
        <v>4</v>
      </c>
      <c r="T43" s="152">
        <f t="shared" si="4"/>
        <v>1</v>
      </c>
      <c r="U43" s="152">
        <f>J12+L15+J20+L23+J27+J32+L35</f>
        <v>2</v>
      </c>
      <c r="V43" s="152">
        <f>L12+J15+L20+J23+L27+L32+J35</f>
        <v>10</v>
      </c>
      <c r="W43" s="152">
        <f>Q12+R15+Q20+R23+Q27+Q32+R35</f>
        <v>8</v>
      </c>
      <c r="X43" s="129">
        <f t="shared" si="1"/>
        <v>6</v>
      </c>
    </row>
    <row r="44" spans="1:24" ht="18.75" customHeight="1" x14ac:dyDescent="0.3">
      <c r="A44" s="174">
        <f>Scholen!$N$27</f>
        <v>0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10</v>
      </c>
      <c r="V44" s="152">
        <f>J12+L16+L19+J24+L29+J31+J38</f>
        <v>5</v>
      </c>
      <c r="W44" s="152">
        <f>R12+Q16+Q19+R24+Q29+R31+R38</f>
        <v>9</v>
      </c>
      <c r="X44" s="129">
        <f t="shared" si="1"/>
        <v>4</v>
      </c>
    </row>
    <row r="45" spans="1:24" ht="18.75" customHeight="1" x14ac:dyDescent="0.3">
      <c r="A45" s="154">
        <f>Scholen!$N$28</f>
        <v>0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8</v>
      </c>
      <c r="Q45" s="152">
        <f t="shared" si="0"/>
        <v>6</v>
      </c>
      <c r="R45" s="152">
        <f t="shared" si="2"/>
        <v>2</v>
      </c>
      <c r="S45" s="152">
        <f t="shared" si="3"/>
        <v>2</v>
      </c>
      <c r="T45" s="152">
        <f t="shared" si="4"/>
        <v>2</v>
      </c>
      <c r="U45" s="152">
        <f>J13+L16+L20+J26+L30+L34+J37</f>
        <v>4</v>
      </c>
      <c r="V45" s="152">
        <f>L13+J16+J20+L26+J30+J34+L37</f>
        <v>6</v>
      </c>
      <c r="W45" s="152">
        <f>Q13+R16+R20+Q26+R30+R34+Q37</f>
        <v>12</v>
      </c>
      <c r="X45" s="129">
        <f t="shared" si="1"/>
        <v>4</v>
      </c>
    </row>
    <row r="46" spans="1:24" ht="18.75" customHeight="1" x14ac:dyDescent="0.3">
      <c r="A46" s="154">
        <f>Scholen!$N$29</f>
        <v>0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9</v>
      </c>
      <c r="Q46" s="152">
        <f t="shared" si="0"/>
        <v>6</v>
      </c>
      <c r="R46" s="152">
        <f t="shared" si="2"/>
        <v>3</v>
      </c>
      <c r="S46" s="152">
        <f t="shared" si="3"/>
        <v>3</v>
      </c>
      <c r="T46" s="152">
        <f t="shared" si="4"/>
        <v>0</v>
      </c>
      <c r="U46" s="152">
        <f>L13+J17+J22+J24+L27+L33+J36</f>
        <v>7</v>
      </c>
      <c r="V46" s="152">
        <f>J13+L17+L22+L24+J27+J33+L36</f>
        <v>7</v>
      </c>
      <c r="W46" s="152">
        <f>R13+Q17+Q22+Q24+R27+R33+Q36</f>
        <v>8</v>
      </c>
      <c r="X46" s="129">
        <f t="shared" si="1"/>
        <v>3</v>
      </c>
    </row>
    <row r="47" spans="1:24" ht="18.75" customHeight="1" x14ac:dyDescent="0.3">
      <c r="A47" s="154" t="str">
        <f>IF(Scholen!$N$30&lt;&gt;"",Scholen!$N$30,"")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13</v>
      </c>
      <c r="Q47" s="152">
        <f t="shared" si="0"/>
        <v>6</v>
      </c>
      <c r="R47" s="152">
        <f t="shared" si="2"/>
        <v>4</v>
      </c>
      <c r="S47" s="152">
        <f t="shared" si="3"/>
        <v>1</v>
      </c>
      <c r="T47" s="152">
        <f t="shared" si="4"/>
        <v>1</v>
      </c>
      <c r="U47" s="152">
        <f>J14+L17+L21+L25+J30+L32+J38</f>
        <v>11</v>
      </c>
      <c r="V47" s="152">
        <f>L14+J17+J21+J25+L30+J32+L38</f>
        <v>4</v>
      </c>
      <c r="W47" s="152">
        <f>Q14+R17+R21+R25+Q30+R32+Q38</f>
        <v>6</v>
      </c>
      <c r="X47" s="129">
        <f t="shared" si="1"/>
        <v>2</v>
      </c>
    </row>
    <row r="48" spans="1:24" ht="18.75" customHeight="1" x14ac:dyDescent="0.3">
      <c r="A48" s="154" t="str">
        <f>IF(Scholen!$N$31&lt;&gt;"",Scholen!$N$31,"")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5586D-94E9-413D-A015-AA19FC194958}">
  <sheetPr codeName="Blad19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Scholen!$P$22</f>
        <v>0</v>
      </c>
      <c r="F8" s="81"/>
      <c r="G8" s="81"/>
      <c r="H8" s="82" t="s">
        <v>1</v>
      </c>
      <c r="I8" s="83" t="s">
        <v>96</v>
      </c>
      <c r="J8" s="81" t="s">
        <v>11</v>
      </c>
      <c r="K8" s="84">
        <f>Scholen!$Q$21</f>
        <v>17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1">
        <v>2</v>
      </c>
      <c r="M11" s="112">
        <f>Scheids!$D$22</f>
        <v>0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Scheids!$D$22</f>
        <v>0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5">
        <v>1</v>
      </c>
      <c r="M13" s="126">
        <f>Scheids!$D$22</f>
        <v>0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4</v>
      </c>
      <c r="K15" s="124" t="s">
        <v>294</v>
      </c>
      <c r="L15" s="125">
        <v>0</v>
      </c>
      <c r="M15" s="126">
        <f>Scheids!$F$22</f>
        <v>0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Scheids!$F$22</f>
        <v>0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2</v>
      </c>
      <c r="M17" s="126">
        <f>Scheids!$F$22</f>
        <v>0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7</v>
      </c>
      <c r="M19" s="126">
        <f>Scheids!$D$22</f>
        <v>0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Scheids!$D$22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2</v>
      </c>
      <c r="M21" s="126">
        <f>Scheids!$D$22</f>
        <v>0</v>
      </c>
      <c r="N21" s="127"/>
      <c r="O21" s="128"/>
      <c r="Q21" s="129">
        <v>1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0</v>
      </c>
      <c r="M23" s="126">
        <f>Scheids!$F$22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0</v>
      </c>
      <c r="K24" s="124" t="s">
        <v>294</v>
      </c>
      <c r="L24" s="125">
        <v>6</v>
      </c>
      <c r="M24" s="126">
        <f>Scheids!$F$22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2</v>
      </c>
      <c r="K25" s="124" t="s">
        <v>294</v>
      </c>
      <c r="L25" s="125">
        <v>0</v>
      </c>
      <c r="M25" s="126">
        <f>Scheids!$F$22</f>
        <v>0</v>
      </c>
      <c r="N25" s="127"/>
      <c r="O25" s="128"/>
      <c r="Q25" s="129">
        <v>2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0</v>
      </c>
      <c r="M27" s="126">
        <f>Scheids!$D$22</f>
        <v>0</v>
      </c>
      <c r="N27" s="127"/>
      <c r="O27" s="128"/>
      <c r="Q27" s="129">
        <v>1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5">
        <v>5</v>
      </c>
      <c r="M29" s="126">
        <f>Scheids!$D$22</f>
        <v>0</v>
      </c>
      <c r="N29" s="127"/>
      <c r="O29" s="128"/>
      <c r="Q29" s="129">
        <v>0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5">
        <v>0</v>
      </c>
      <c r="M30" s="126">
        <f>Scheids!$D$22</f>
        <v>0</v>
      </c>
      <c r="N30" s="127"/>
      <c r="O30" s="128"/>
      <c r="Q30" s="129">
        <v>0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Scheids!$F$22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7</v>
      </c>
      <c r="K33" s="124" t="s">
        <v>294</v>
      </c>
      <c r="L33" s="125">
        <v>1</v>
      </c>
      <c r="M33" s="126">
        <f>Scheids!$F$22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6</v>
      </c>
      <c r="K34" s="124" t="s">
        <v>294</v>
      </c>
      <c r="L34" s="125">
        <v>0</v>
      </c>
      <c r="M34" s="126">
        <f>Scheids!$F$22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5</v>
      </c>
      <c r="M36" s="126">
        <f>Scheids!$D$22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3</v>
      </c>
      <c r="M37" s="126">
        <f>Scheids!$F$22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2</v>
      </c>
      <c r="M38" s="141">
        <f>Scheids!$F$22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Scholen!$P$24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11</v>
      </c>
      <c r="Q41" s="152">
        <f t="shared" ref="Q41:Q48" si="0">COUNT(E41:N41)</f>
        <v>6</v>
      </c>
      <c r="R41" s="152">
        <f>COUNTIFS(E41:N41,3)</f>
        <v>3</v>
      </c>
      <c r="S41" s="152">
        <f>COUNTIFS(E41:N41,0)</f>
        <v>1</v>
      </c>
      <c r="T41" s="152">
        <f>COUNTIFS(E41:N41,1)</f>
        <v>2</v>
      </c>
      <c r="U41" s="152">
        <f>J11+L18+J21+J23+L29+J34+L36</f>
        <v>19</v>
      </c>
      <c r="V41" s="152">
        <f>L11+J18+L21+L23+J29+L34+J36</f>
        <v>5</v>
      </c>
      <c r="W41" s="152">
        <f>Q11+R18+Q21+Q23+R29+Q34+R36</f>
        <v>7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>
        <f>Scholen!$P$25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16</v>
      </c>
      <c r="Q42" s="152">
        <f t="shared" si="0"/>
        <v>6</v>
      </c>
      <c r="R42" s="152">
        <f t="shared" ref="R42:R48" si="2">COUNTIFS(E42:N42,3)</f>
        <v>5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25</v>
      </c>
      <c r="V42" s="152">
        <f>J11+L15+J19+L25+L28+L33+J37</f>
        <v>4</v>
      </c>
      <c r="W42" s="152">
        <f>R11+Q15+R19+Q25+Q28+Q33+R37</f>
        <v>8</v>
      </c>
      <c r="X42" s="129">
        <f t="shared" si="1"/>
        <v>1</v>
      </c>
    </row>
    <row r="43" spans="1:24" ht="18.75" customHeight="1" x14ac:dyDescent="0.3">
      <c r="A43" s="154">
        <f>Scholen!$P$26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2"/>
        <v>1</v>
      </c>
      <c r="S43" s="152">
        <f t="shared" si="3"/>
        <v>2</v>
      </c>
      <c r="T43" s="152">
        <f t="shared" si="4"/>
        <v>3</v>
      </c>
      <c r="U43" s="152">
        <f>J12+L15+J20+L23+J27+J32+L35</f>
        <v>2</v>
      </c>
      <c r="V43" s="152">
        <f>L12+J15+L20+J23+L27+L32+J35</f>
        <v>7</v>
      </c>
      <c r="W43" s="152">
        <f>Q12+R15+Q20+R23+Q27+Q32+R35</f>
        <v>8</v>
      </c>
      <c r="X43" s="129">
        <f t="shared" si="1"/>
        <v>5</v>
      </c>
    </row>
    <row r="44" spans="1:24" ht="18.75" customHeight="1" x14ac:dyDescent="0.3">
      <c r="A44" s="161">
        <f>Scholen!$P$27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11</v>
      </c>
      <c r="V44" s="152">
        <f>J12+L16+L19+J24+L29+J31+J38</f>
        <v>15</v>
      </c>
      <c r="W44" s="152">
        <f>R12+Q16+Q19+R24+Q29+R31+R38</f>
        <v>7</v>
      </c>
      <c r="X44" s="129">
        <f t="shared" si="1"/>
        <v>4</v>
      </c>
    </row>
    <row r="45" spans="1:24" ht="18.75" customHeight="1" x14ac:dyDescent="0.3">
      <c r="A45" s="154">
        <f>Scholen!$P$28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2</v>
      </c>
      <c r="Q45" s="152">
        <f t="shared" si="0"/>
        <v>6</v>
      </c>
      <c r="R45" s="152">
        <f t="shared" si="2"/>
        <v>0</v>
      </c>
      <c r="S45" s="152">
        <f t="shared" si="3"/>
        <v>4</v>
      </c>
      <c r="T45" s="152">
        <f t="shared" si="4"/>
        <v>2</v>
      </c>
      <c r="U45" s="152">
        <f>J13+L16+L20+J26+L30+L34+J37</f>
        <v>1</v>
      </c>
      <c r="V45" s="152">
        <f>L13+J16+J20+L26+J30+J34+L37</f>
        <v>15</v>
      </c>
      <c r="W45" s="152">
        <f>Q13+R16+R20+Q26+R30+R34+Q37</f>
        <v>10</v>
      </c>
      <c r="X45" s="129">
        <f t="shared" si="1"/>
        <v>7</v>
      </c>
    </row>
    <row r="46" spans="1:24" ht="18.75" customHeight="1" x14ac:dyDescent="0.3">
      <c r="A46" s="154">
        <f>Scholen!$P$29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3</v>
      </c>
      <c r="Q46" s="152">
        <f t="shared" si="0"/>
        <v>6</v>
      </c>
      <c r="R46" s="152">
        <f t="shared" si="2"/>
        <v>1</v>
      </c>
      <c r="S46" s="152">
        <f t="shared" si="3"/>
        <v>5</v>
      </c>
      <c r="T46" s="152">
        <f t="shared" si="4"/>
        <v>0</v>
      </c>
      <c r="U46" s="152">
        <f>L13+J17+J22+J24+L27+L33+J36</f>
        <v>3</v>
      </c>
      <c r="V46" s="152">
        <f>J13+L17+L22+L24+J27+J33+L36</f>
        <v>21</v>
      </c>
      <c r="W46" s="152">
        <f>R13+Q17+Q22+Q24+R27+R33+Q36</f>
        <v>10</v>
      </c>
      <c r="X46" s="129">
        <f t="shared" si="1"/>
        <v>6</v>
      </c>
    </row>
    <row r="47" spans="1:24" ht="18.75" customHeight="1" x14ac:dyDescent="0.3">
      <c r="A47" s="154" t="str">
        <f>IF(Scholen!$P$30&lt;&gt;"",Scholen!$P$30,"")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12</v>
      </c>
      <c r="Q47" s="152">
        <f t="shared" si="0"/>
        <v>6</v>
      </c>
      <c r="R47" s="152">
        <f t="shared" si="2"/>
        <v>4</v>
      </c>
      <c r="S47" s="152">
        <f t="shared" si="3"/>
        <v>2</v>
      </c>
      <c r="T47" s="152">
        <f t="shared" si="4"/>
        <v>0</v>
      </c>
      <c r="U47" s="152">
        <f>J14+L17+L21+L25+J30+L32+J38</f>
        <v>11</v>
      </c>
      <c r="V47" s="152">
        <f>L14+J17+J21+J25+L30+J32+L38</f>
        <v>5</v>
      </c>
      <c r="W47" s="152">
        <f>Q14+R17+R21+R25+Q30+R32+Q38</f>
        <v>5</v>
      </c>
      <c r="X47" s="129">
        <f t="shared" si="1"/>
        <v>2</v>
      </c>
    </row>
    <row r="48" spans="1:24" ht="18.75" customHeight="1" x14ac:dyDescent="0.3">
      <c r="A48" s="154" t="str">
        <f>IF(Scholen!$P$31&lt;&gt;"",Scholen!$P$31,"")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2AB68-5313-451A-A311-7801F082A487}">
  <sheetPr codeName="Blad2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Scholen!$R$22</f>
        <v>0</v>
      </c>
      <c r="F8" s="81"/>
      <c r="G8" s="81"/>
      <c r="H8" s="82" t="s">
        <v>1</v>
      </c>
      <c r="I8" s="83" t="s">
        <v>97</v>
      </c>
      <c r="J8" s="81" t="s">
        <v>11</v>
      </c>
      <c r="K8" s="84">
        <f>Scholen!$S$21</f>
        <v>18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184" t="s">
        <v>251</v>
      </c>
      <c r="N10" s="149"/>
      <c r="O10" s="151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0">
        <v>1</v>
      </c>
      <c r="M11" s="112">
        <f>Scheids!$D$23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2</v>
      </c>
      <c r="K12" s="124" t="s">
        <v>294</v>
      </c>
      <c r="L12" s="124">
        <v>0</v>
      </c>
      <c r="M12" s="126">
        <f>Scheids!$D$23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4">
        <v>3</v>
      </c>
      <c r="M13" s="126">
        <f>Scheids!$D$23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4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4">
        <v>1</v>
      </c>
      <c r="M15" s="126">
        <f>Scheids!$F$23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3</v>
      </c>
      <c r="K16" s="124" t="s">
        <v>294</v>
      </c>
      <c r="L16" s="124">
        <v>0</v>
      </c>
      <c r="M16" s="126">
        <f>Scheids!$F$23</f>
        <v>0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3</v>
      </c>
      <c r="K17" s="124" t="s">
        <v>294</v>
      </c>
      <c r="L17" s="124">
        <v>0</v>
      </c>
      <c r="M17" s="126">
        <f>Scheids!$F$23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4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4">
        <v>1</v>
      </c>
      <c r="M19" s="126">
        <f>Scheids!$D$23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2</v>
      </c>
      <c r="K20" s="124" t="s">
        <v>294</v>
      </c>
      <c r="L20" s="124">
        <v>1</v>
      </c>
      <c r="M20" s="126">
        <f>Scheids!$D$23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2</v>
      </c>
      <c r="K21" s="124" t="s">
        <v>294</v>
      </c>
      <c r="L21" s="124">
        <v>0</v>
      </c>
      <c r="M21" s="126">
        <f>Scheids!$D$23</f>
        <v>0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4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2</v>
      </c>
      <c r="K23" s="124" t="s">
        <v>294</v>
      </c>
      <c r="L23" s="124">
        <v>0</v>
      </c>
      <c r="M23" s="126">
        <f>Scheids!$F$23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3</v>
      </c>
      <c r="K24" s="124" t="s">
        <v>294</v>
      </c>
      <c r="L24" s="124">
        <v>0</v>
      </c>
      <c r="M24" s="126">
        <f>Scheids!$F$23</f>
        <v>0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4">
        <v>0</v>
      </c>
      <c r="M25" s="126">
        <f>Scheids!$F$23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4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4">
        <v>5</v>
      </c>
      <c r="M27" s="126">
        <f>Scheids!$D$23</f>
        <v>0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4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4">
        <v>5</v>
      </c>
      <c r="M29" s="126">
        <f>Scheids!$D$23</f>
        <v>0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4">
        <v>0</v>
      </c>
      <c r="M30" s="126">
        <f>Scheids!$D$23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4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4">
        <v>1</v>
      </c>
      <c r="M32" s="126">
        <f>Scheids!$F$23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4">
        <v>5</v>
      </c>
      <c r="M33" s="126">
        <f>Scheids!$F$23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3</v>
      </c>
      <c r="K34" s="124" t="s">
        <v>294</v>
      </c>
      <c r="L34" s="124">
        <v>0</v>
      </c>
      <c r="M34" s="126">
        <f>Scheids!$F$23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4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4</v>
      </c>
      <c r="K36" s="124" t="s">
        <v>294</v>
      </c>
      <c r="L36" s="124">
        <v>0</v>
      </c>
      <c r="M36" s="126">
        <f>Scheids!$D$23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4">
        <v>3</v>
      </c>
      <c r="M37" s="126">
        <f>Scheids!$F$23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39">
        <v>4</v>
      </c>
      <c r="M38" s="141">
        <f>Scheids!$F$23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Scholen!$R$24</f>
        <v>0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15</v>
      </c>
      <c r="Q41" s="152">
        <f t="shared" ref="Q41:Q48" si="0">COUNT(E41:N41)</f>
        <v>6</v>
      </c>
      <c r="R41" s="152">
        <f>COUNTIFS(E41:N41,3)</f>
        <v>5</v>
      </c>
      <c r="S41" s="152">
        <f>COUNTIFS(E41:N41,0)</f>
        <v>1</v>
      </c>
      <c r="T41" s="152">
        <f>COUNTIFS(E41:N41,1)</f>
        <v>0</v>
      </c>
      <c r="U41" s="152">
        <f>J11+L18+J21+J23+L29+J34+L36</f>
        <v>14</v>
      </c>
      <c r="V41" s="152">
        <f>L11+J18+L21+L23+J29+L34+J36</f>
        <v>5</v>
      </c>
      <c r="W41" s="152">
        <f>Q11+R18+Q21+Q23+R29+Q34+R36</f>
        <v>10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>
        <f>Scholen!$R$25</f>
        <v>0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10</v>
      </c>
      <c r="Q42" s="152">
        <f t="shared" si="0"/>
        <v>6</v>
      </c>
      <c r="R42" s="152">
        <f t="shared" ref="R42:R48" si="2">COUNTIFS(E42:N42,3)</f>
        <v>3</v>
      </c>
      <c r="S42" s="152">
        <f t="shared" ref="S42:S48" si="3">COUNTIFS(E42:N42,0)</f>
        <v>2</v>
      </c>
      <c r="T42" s="152">
        <f t="shared" ref="T42:T48" si="4">COUNTIFS(E42:N42,1)</f>
        <v>1</v>
      </c>
      <c r="U42" s="152">
        <f>L11+J15+L19+J25+J28+J33+L37</f>
        <v>8</v>
      </c>
      <c r="V42" s="152">
        <f>J11+L15+J19+L25+L28+L33+J37</f>
        <v>9</v>
      </c>
      <c r="W42" s="152">
        <f>R11+Q15+R19+Q25+Q28+Q33+R37</f>
        <v>8</v>
      </c>
      <c r="X42" s="129">
        <f t="shared" si="1"/>
        <v>3</v>
      </c>
    </row>
    <row r="43" spans="1:24" ht="18.75" customHeight="1" x14ac:dyDescent="0.3">
      <c r="A43" s="154">
        <f>Scholen!$R$26</f>
        <v>0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8</v>
      </c>
      <c r="Q43" s="152">
        <f t="shared" si="0"/>
        <v>6</v>
      </c>
      <c r="R43" s="152">
        <f t="shared" si="2"/>
        <v>2</v>
      </c>
      <c r="S43" s="152">
        <f t="shared" si="3"/>
        <v>2</v>
      </c>
      <c r="T43" s="152">
        <f t="shared" si="4"/>
        <v>2</v>
      </c>
      <c r="U43" s="152">
        <f>J12+L15+J20+L23+J27+J32+L35</f>
        <v>6</v>
      </c>
      <c r="V43" s="152">
        <f>L12+J15+L20+J23+L27+L32+J35</f>
        <v>10</v>
      </c>
      <c r="W43" s="152">
        <f>Q12+R15+Q20+R23+Q27+Q32+R35</f>
        <v>9</v>
      </c>
      <c r="X43" s="129">
        <f t="shared" si="1"/>
        <v>4</v>
      </c>
    </row>
    <row r="44" spans="1:24" ht="18.75" customHeight="1" x14ac:dyDescent="0.3">
      <c r="A44" s="161">
        <f>Scholen!$R$27</f>
        <v>0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2"/>
        <v>2</v>
      </c>
      <c r="S44" s="152">
        <f t="shared" si="3"/>
        <v>4</v>
      </c>
      <c r="T44" s="152">
        <f t="shared" si="4"/>
        <v>0</v>
      </c>
      <c r="U44" s="152">
        <f>L12+J16+J19+L24+J29+L31+L38</f>
        <v>7</v>
      </c>
      <c r="V44" s="152">
        <f>J12+L16+L19+J24+L29+J31+J38</f>
        <v>12</v>
      </c>
      <c r="W44" s="152">
        <f>R12+Q16+Q19+R24+Q29+R31+R38</f>
        <v>9</v>
      </c>
      <c r="X44" s="129">
        <f t="shared" si="1"/>
        <v>5</v>
      </c>
    </row>
    <row r="45" spans="1:24" ht="18.75" customHeight="1" x14ac:dyDescent="0.3">
      <c r="A45" s="154">
        <f>Scholen!$R$28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0</v>
      </c>
      <c r="Q45" s="152">
        <f t="shared" si="0"/>
        <v>6</v>
      </c>
      <c r="R45" s="152">
        <f t="shared" si="2"/>
        <v>0</v>
      </c>
      <c r="S45" s="152">
        <f t="shared" si="3"/>
        <v>6</v>
      </c>
      <c r="T45" s="152">
        <f t="shared" si="4"/>
        <v>0</v>
      </c>
      <c r="U45" s="152">
        <f>J13+L16+L20+J26+L30+L34+J37</f>
        <v>2</v>
      </c>
      <c r="V45" s="152">
        <f>L13+J16+J20+L26+J30+J34+L37</f>
        <v>18</v>
      </c>
      <c r="W45" s="152">
        <f>Q13+R16+R20+Q26+R30+R34+Q37</f>
        <v>9</v>
      </c>
      <c r="X45" s="129">
        <f t="shared" si="1"/>
        <v>7</v>
      </c>
    </row>
    <row r="46" spans="1:24" ht="18.75" customHeight="1" x14ac:dyDescent="0.3">
      <c r="A46" s="154">
        <f>Scholen!$R$29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18</v>
      </c>
      <c r="Q46" s="152">
        <f t="shared" si="0"/>
        <v>6</v>
      </c>
      <c r="R46" s="152">
        <f t="shared" si="2"/>
        <v>6</v>
      </c>
      <c r="S46" s="152">
        <f t="shared" si="3"/>
        <v>0</v>
      </c>
      <c r="T46" s="152">
        <f t="shared" si="4"/>
        <v>0</v>
      </c>
      <c r="U46" s="152">
        <f>L13+J17+J22+J24+L27+L33+J36</f>
        <v>23</v>
      </c>
      <c r="V46" s="152">
        <f>J13+L17+L22+L24+J27+J33+L36</f>
        <v>1</v>
      </c>
      <c r="W46" s="152">
        <f>R13+Q17+Q22+Q24+R27+R33+Q36</f>
        <v>9</v>
      </c>
      <c r="X46" s="129">
        <f t="shared" si="1"/>
        <v>1</v>
      </c>
    </row>
    <row r="47" spans="1:24" ht="18.75" customHeight="1" x14ac:dyDescent="0.3">
      <c r="A47" s="154" t="str">
        <f>IF(Scholen!$R$30&lt;&gt;"",Scholen!$R$30,"")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4</v>
      </c>
      <c r="Q47" s="152">
        <f t="shared" si="0"/>
        <v>6</v>
      </c>
      <c r="R47" s="152">
        <f t="shared" si="2"/>
        <v>1</v>
      </c>
      <c r="S47" s="152">
        <f t="shared" si="3"/>
        <v>4</v>
      </c>
      <c r="T47" s="152">
        <f t="shared" si="4"/>
        <v>1</v>
      </c>
      <c r="U47" s="152">
        <f>J14+L17+L21+L25+J30+L32+J38</f>
        <v>6</v>
      </c>
      <c r="V47" s="152">
        <f>L14+J17+J21+J25+L30+J32+L38</f>
        <v>11</v>
      </c>
      <c r="W47" s="152">
        <f>Q14+R17+R21+R25+Q30+R32+Q38</f>
        <v>8</v>
      </c>
      <c r="X47" s="129">
        <f t="shared" si="1"/>
        <v>6</v>
      </c>
    </row>
    <row r="48" spans="1:24" ht="18.75" customHeight="1" x14ac:dyDescent="0.3">
      <c r="A48" s="154" t="str">
        <f>IF(Scholen!$R$31&lt;&gt;"",Scholen!$R$31,"")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F3875-FB27-4D69-A6D9-1261A41507F4}">
  <sheetPr codeName="Blad2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Scholen!$B$36</f>
        <v>0</v>
      </c>
      <c r="F8" s="81"/>
      <c r="G8" s="81"/>
      <c r="H8" s="82" t="s">
        <v>1</v>
      </c>
      <c r="I8" s="83" t="str">
        <f>Scholen!$C$34</f>
        <v>S</v>
      </c>
      <c r="J8" s="81" t="s">
        <v>11</v>
      </c>
      <c r="K8" s="84">
        <f>Scholen!$C$35</f>
        <v>19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Scheids!$D$24</f>
        <v>0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Scheids!$D$24</f>
        <v>0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Scheids!$D$24</f>
        <v>0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Scheids!$F$24</f>
        <v>0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Scheids!$F$24</f>
        <v>0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Scheids!$F$24</f>
        <v>0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Scheids!$D$24</f>
        <v>0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Scheids!$D$24</f>
        <v>0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Scheids!$D$24</f>
        <v>0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Scheids!$F$24</f>
        <v>0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Scheids!$F$24</f>
        <v>0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Scheids!$F$24</f>
        <v>0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Scheids!$D$24</f>
        <v>0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Scheids!$D$24</f>
        <v>0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Scheids!$D$24</f>
        <v>0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Scheids!$F$24</f>
        <v>0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Scheids!$F$24</f>
        <v>0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Scheids!$F$24</f>
        <v>0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Scheids!$D$24</f>
        <v>0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Scheids!$F$24</f>
        <v>0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Scheids!$F$24</f>
        <v>0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Scholen!$B$38</f>
        <v>0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>
        <f>Scholen!$B$39</f>
        <v>0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>
        <f>Scholen!$B$40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>
        <f>Scholen!$B$41</f>
        <v>0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>
        <f>Scholen!$B$42</f>
        <v>0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>
        <f>Scholen!$B$43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IF(Scholen!$B$44&lt;&gt;"",Scholen!$B$44,"")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IF(Scholen!$B$45&lt;&gt;"",Scholen!$B$45,"")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8E367-312B-49B8-97BA-A975BF93525F}">
  <sheetPr codeName="Blad22"/>
  <dimension ref="A1:X48"/>
  <sheetViews>
    <sheetView topLeftCell="A12" zoomScaleNormal="100" workbookViewId="0">
      <selection activeCell="M25" sqref="M25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17"/>
      <c r="E8" s="80">
        <f>Scholen!$D$36</f>
        <v>0</v>
      </c>
      <c r="F8" s="17"/>
      <c r="G8" s="17"/>
      <c r="H8" s="82" t="s">
        <v>1</v>
      </c>
      <c r="I8" s="83" t="str">
        <f>Scholen!$E$34</f>
        <v>T</v>
      </c>
      <c r="J8" s="81" t="s">
        <v>11</v>
      </c>
      <c r="K8" s="84">
        <f>Scholen!$E$35</f>
        <v>20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Scheids!$D$25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Scheids!$D$25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Scheids!$D$25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Scheids!$F$25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Scheids!$F$25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Scheids!$F$25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Scheids!$D$25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Scheids!$D$25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Scheids!$D$25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Scheids!$F$25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Scheids!$F$25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Scheids!$F$25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Scheids!$D$25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Scheids!$D$25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Scheids!$D$25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Scheids!$F$25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Scheids!$F$25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Scheids!$F$25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Scheids!$D$25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Scheids!$F$25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Scheids!$F$25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9">
        <f>Scholen!$D$38</f>
        <v>0</v>
      </c>
      <c r="B41" s="160"/>
      <c r="C41" s="160"/>
      <c r="D41" s="114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>IF(O41&lt;&gt;"",_xlfn.RANK.EQ(O41,$O$41:$O$48),"")</f>
        <v/>
      </c>
    </row>
    <row r="42" spans="1:24" ht="18.75" customHeight="1" x14ac:dyDescent="0.3">
      <c r="A42" s="154">
        <f>Scholen!$D$39</f>
        <v>0</v>
      </c>
      <c r="B42" s="155"/>
      <c r="C42" s="155"/>
      <c r="D42" s="156"/>
      <c r="E42" s="156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ref="X42:X48" si="4">IF(O42&lt;&gt;"",_xlfn.RANK.EQ(O42,$O$41:$O$48),"")</f>
        <v/>
      </c>
    </row>
    <row r="43" spans="1:24" ht="18.75" customHeight="1" x14ac:dyDescent="0.3">
      <c r="A43" s="154">
        <f>Scholen!$D$40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1"/>
        <v>0</v>
      </c>
      <c r="S43" s="152">
        <f t="shared" si="2"/>
        <v>0</v>
      </c>
      <c r="T43" s="152">
        <f t="shared" si="3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4"/>
        <v/>
      </c>
    </row>
    <row r="44" spans="1:24" ht="18.75" customHeight="1" x14ac:dyDescent="0.3">
      <c r="A44" s="154">
        <f>Scholen!$D$41</f>
        <v>0</v>
      </c>
      <c r="B44" s="155"/>
      <c r="C44" s="155"/>
      <c r="D44" s="156"/>
      <c r="E44" s="156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1"/>
        <v>0</v>
      </c>
      <c r="S44" s="152">
        <f t="shared" si="2"/>
        <v>0</v>
      </c>
      <c r="T44" s="152">
        <f t="shared" si="3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4"/>
        <v/>
      </c>
    </row>
    <row r="45" spans="1:24" ht="18.75" customHeight="1" x14ac:dyDescent="0.3">
      <c r="A45" s="161">
        <f>Scholen!$D$42</f>
        <v>0</v>
      </c>
      <c r="B45" s="162"/>
      <c r="C45" s="162"/>
      <c r="D45" s="143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1"/>
        <v>0</v>
      </c>
      <c r="S45" s="152">
        <f t="shared" si="2"/>
        <v>0</v>
      </c>
      <c r="T45" s="152">
        <f t="shared" si="3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4"/>
        <v/>
      </c>
    </row>
    <row r="46" spans="1:24" ht="18.75" customHeight="1" x14ac:dyDescent="0.3">
      <c r="A46" s="154">
        <f>Scholen!$D$43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1"/>
        <v>0</v>
      </c>
      <c r="S46" s="152">
        <f t="shared" si="2"/>
        <v>0</v>
      </c>
      <c r="T46" s="152">
        <f t="shared" si="3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4"/>
        <v/>
      </c>
    </row>
    <row r="47" spans="1:24" ht="18.75" customHeight="1" x14ac:dyDescent="0.3">
      <c r="A47" s="154" t="str">
        <f>IF(Scholen!$D$44&lt;&gt;"",Scholen!$D$44,"")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1"/>
        <v>0</v>
      </c>
      <c r="S47" s="152">
        <f t="shared" si="2"/>
        <v>0</v>
      </c>
      <c r="T47" s="152">
        <f t="shared" si="3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4"/>
        <v/>
      </c>
    </row>
    <row r="48" spans="1:24" ht="18.75" customHeight="1" x14ac:dyDescent="0.3">
      <c r="A48" s="154" t="str">
        <f>IF(Scholen!$D$45&lt;&gt;"",Scholen!$D$45,"")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FE9DB-F943-4EED-9F7D-F4BDFA384746}">
  <sheetPr codeName="Blad25"/>
  <dimension ref="A1:X48"/>
  <sheetViews>
    <sheetView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">
        <v>248</v>
      </c>
      <c r="B8" s="80"/>
      <c r="C8" s="80"/>
      <c r="D8" s="81"/>
      <c r="E8" s="80">
        <f>Scholen!$F$36</f>
        <v>0</v>
      </c>
      <c r="F8" s="81"/>
      <c r="G8" s="81"/>
      <c r="H8" s="82" t="s">
        <v>1</v>
      </c>
      <c r="I8" s="83" t="str">
        <f>Scholen!$G$34</f>
        <v>U</v>
      </c>
      <c r="J8" s="81" t="s">
        <v>11</v>
      </c>
      <c r="K8" s="84">
        <f>Scholen!$G$35</f>
        <v>21</v>
      </c>
      <c r="L8" s="84"/>
      <c r="M8" s="82"/>
      <c r="N8" s="85">
        <v>45385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Scheids!$D$26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Scheids!$D$26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Scheids!$D$26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Scheids!$F$26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Scheids!$F$26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Scheids!$F$26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Scheids!$D$26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Scheids!$D$26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Scheids!$D$26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Scheids!$F$26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Scheids!$F$26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Scheids!$F$26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Scheids!$D$26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Scheids!$D$26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Scheids!$D$26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Scheids!$F$26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Scheids!$F$26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Scheids!$F$26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Scheids!$D$26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Scheids!$F$26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Scheids!$F$26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Scholen!$F$38</f>
        <v>0</v>
      </c>
      <c r="B41" s="155"/>
      <c r="C41" s="155"/>
      <c r="D41" s="156"/>
      <c r="E41" s="156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Scholen!$F$39</f>
        <v>0</v>
      </c>
      <c r="B42" s="160"/>
      <c r="C42" s="160"/>
      <c r="D42" s="114"/>
      <c r="E42" s="156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Scholen!$F$40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Scholen!$F$41</f>
        <v>0</v>
      </c>
      <c r="B44" s="162"/>
      <c r="C44" s="162"/>
      <c r="D44" s="143"/>
      <c r="E44" s="156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Scholen!$F$42</f>
        <v>0</v>
      </c>
      <c r="B45" s="155"/>
      <c r="C45" s="155"/>
      <c r="D45" s="156"/>
      <c r="E45" s="114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Scholen!$F$43</f>
        <v>0</v>
      </c>
      <c r="B46" s="155"/>
      <c r="C46" s="155"/>
      <c r="D46" s="156"/>
      <c r="E46" s="156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IF(Scholen!$F$44&lt;&gt;"",Scholen!$F$44,"")</f>
        <v/>
      </c>
      <c r="B47" s="155"/>
      <c r="C47" s="155"/>
      <c r="D47" s="156"/>
      <c r="E47" s="168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IF(Scholen!$F$45&lt;&gt;"",Scholen!$F$45,"")</f>
        <v/>
      </c>
      <c r="B48" s="155"/>
      <c r="C48" s="155"/>
      <c r="D48" s="156"/>
      <c r="E48" s="143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C9F0D-9265-486B-B4F5-A6FAC0E6330A}">
  <sheetPr codeName="Blad24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Scholen!$H$36</f>
        <v>0</v>
      </c>
      <c r="F8" s="81"/>
      <c r="G8" s="81"/>
      <c r="H8" s="82" t="s">
        <v>1</v>
      </c>
      <c r="I8" s="83" t="str">
        <f>Scholen!$I$34</f>
        <v>V</v>
      </c>
      <c r="J8" s="81" t="s">
        <v>11</v>
      </c>
      <c r="K8" s="84">
        <f>Scholen!$I$35</f>
        <v>22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Scheids!$D$27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Scheids!$D$27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Scheids!$D$27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Scheids!$F$27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Scheids!$F$27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Scheids!$F$27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Scheids!$D$27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Scheids!$D$27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Scheids!$D$27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Scheids!$F$27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Scheids!$F$27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Scheids!$F$27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Scheids!$D$27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Scheids!$D$27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Scheids!$D$27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Scheids!$F$27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Scheids!$F$27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Scheids!$F$27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Scheids!$D$27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Scheids!$F$27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Scheids!$F$27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Scholen!$H$38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Scholen!$H$39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Scholen!$H$40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Scholen!$H$41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Scholen!$H$42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Scholen!$H$43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IF(Scholen!$H$44&lt;&gt;"",Scholen!$H$44,"")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IF(Scholen!$H$45&lt;&gt;"",Scholen!$H$45,"")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F6EC3-C1A2-4DBA-8884-1FA6B2DE051C}">
  <sheetPr codeName="Blad23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Scholen!$J$36</f>
        <v>0</v>
      </c>
      <c r="F8" s="81"/>
      <c r="G8" s="81"/>
      <c r="H8" s="82" t="s">
        <v>1</v>
      </c>
      <c r="I8" s="83" t="str">
        <f>Scholen!$K$34</f>
        <v>W</v>
      </c>
      <c r="J8" s="81" t="s">
        <v>11</v>
      </c>
      <c r="K8" s="84">
        <f>Scholen!$K$35</f>
        <v>23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Scheids!$D$28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Scheids!$D$28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Scheids!$D$28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Scheids!$F$28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Scheids!$F$28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Scheids!$F$28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Scheids!$D$28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Scheids!$D$28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Scheids!$D$28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Scheids!$F$28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Scheids!$F$28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Scheids!$F$28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Scheids!$D$28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Scheids!$D$28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Scheids!$D$28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Scheids!$F$28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Scheids!$F$28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Scheids!$F$28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Scheids!$D$28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Scheids!$F$28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Scheids!$F$28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Scholen!$J$38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Scholen!$J$39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Scholen!$J$40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Scholen!$J$41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Scholen!$J$42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Scholen!$J$43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IF(Scholen!$J$44&lt;&gt;"",Scholen!$J$44,"")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IF(Scholen!$J$45&lt;&gt;"",Scholen!$J$45,"")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1C6-8957-4D33-89BF-11E3D97B2AA8}">
  <sheetPr codeName="Blad28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Scholen!$L$36</f>
        <v>0</v>
      </c>
      <c r="F8" s="81"/>
      <c r="G8" s="81"/>
      <c r="H8" s="82" t="s">
        <v>1</v>
      </c>
      <c r="I8" s="83" t="str">
        <f>Scholen!$M$34</f>
        <v>X</v>
      </c>
      <c r="J8" s="81" t="s">
        <v>11</v>
      </c>
      <c r="K8" s="84">
        <f>Scholen!$M$35</f>
        <v>24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Scheids!$D$29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Scheids!$D$29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Scheids!$D$29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Scheids!$F$29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Scheids!$F$29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Scheids!$F$29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Scheids!$D$29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Scheids!$D$29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Scheids!$D$29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Scheids!$F$29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Scheids!$F$29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Scheids!$F$29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Scheids!$D$29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Scheids!$D$29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Scheids!$D$29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Scheids!$F$29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Scheids!$F$29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Scheids!$F$29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Scheids!$D$29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Scheids!$F$29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Scheids!$F$29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Scholen!$L$38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Scholen!$L$39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Scholen!$L$40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Scholen!$L$41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Scholen!$L$42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Scholen!$L$43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IF(Scholen!$L$44&lt;&gt;"",Scholen!$L$44,"")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IF(Scholen!$L$45&lt;&gt;"",Scholen!$L$45,"")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D8250-F6F3-4C7E-89E2-5B5BC879C6D1}">
  <sheetPr codeName="Blad29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Scholen!$N$36</f>
        <v>0</v>
      </c>
      <c r="F8" s="81"/>
      <c r="G8" s="81"/>
      <c r="H8" s="82" t="s">
        <v>1</v>
      </c>
      <c r="I8" s="83" t="str">
        <f>Scholen!$O$34</f>
        <v>Y</v>
      </c>
      <c r="J8" s="81" t="s">
        <v>11</v>
      </c>
      <c r="K8" s="84">
        <f>Scholen!$O$35</f>
        <v>25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Scheids!$D$30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Scheids!$D$30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Scheids!$D$30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Scheids!$F$30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Scheids!$F$30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Scheids!$F$30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Scheids!$D$30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Scheids!$D$30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Scheids!$D$30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Scheids!$F$30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Scheids!$F$30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Scheids!$F$30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Scheids!$D$30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Scheids!$D$30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Scheids!$D$30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Scheids!$F$30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Scheids!$F$30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Scheids!$F$30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Scheids!$D$30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Scheids!$F$30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Scheids!$F$30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Scholen!$N$39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Scholen!$N$40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Scholen!$N$41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Scholen!$N$42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Scholen!$N$43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IF(Scholen!$N$44&lt;&gt;"",Scholen!$N$44,"")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IF(Scholen!$N$45&lt;&gt;"",Scholen!$N$45,"")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A8DEC-BEF3-42C8-9AB2-F789F1C53E50}">
  <sheetPr codeName="Blad30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Scholen!$P$36</f>
        <v>0</v>
      </c>
      <c r="F8" s="81"/>
      <c r="G8" s="81"/>
      <c r="H8" s="82" t="s">
        <v>1</v>
      </c>
      <c r="I8" s="83" t="str">
        <f>Scholen!$Q$34</f>
        <v>Z</v>
      </c>
      <c r="J8" s="81" t="s">
        <v>11</v>
      </c>
      <c r="K8" s="84">
        <f>Scholen!$Q$35</f>
        <v>26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Scheids!$D$31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Scheids!$D$31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Scheids!$D$31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Scheids!$F$31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Scheids!$F$31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Scheids!$F$31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Scheids!$D$31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Scheids!$D$31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Scheids!$D$31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Scheids!$F$31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Scheids!$F$31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Scheids!$F$31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Scheids!$D$31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Scheids!$D$31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Scheids!$D$31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Scheids!$F$31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Scheids!$F$31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Scheids!$F$31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Scheids!$D$31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Scheids!$F$31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Scheids!$F$31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Scholen!$P$39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Scholen!$P$40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Scholen!$P$41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Scholen!$P$42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Scholen!$P$43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IF(Scholen!$P$44&lt;&gt;"",Scholen!$P$44,"")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IF(Scholen!$P$45&lt;&gt;"",Scholen!$P$45,"")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CB687-980C-45E8-A12E-3CA897849013}">
  <sheetPr codeName="Blad32"/>
  <dimension ref="A1:Y55"/>
  <sheetViews>
    <sheetView showGridLines="0" topLeftCell="A15" zoomScale="70" zoomScaleNormal="70" workbookViewId="0">
      <selection activeCell="V14" sqref="V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193" t="s">
        <v>307</v>
      </c>
      <c r="B11" s="194"/>
      <c r="C11" s="195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5"/>
      <c r="T11" s="127"/>
    </row>
    <row r="12" spans="1:22" ht="18.75" customHeight="1" x14ac:dyDescent="0.3">
      <c r="A12" s="91" t="s">
        <v>289</v>
      </c>
      <c r="B12" s="92" t="s">
        <v>290</v>
      </c>
      <c r="C12" s="92"/>
      <c r="D12" s="92"/>
      <c r="E12" s="150" t="s">
        <v>291</v>
      </c>
      <c r="F12" s="149"/>
      <c r="G12" s="149"/>
      <c r="H12" s="149"/>
      <c r="I12" s="151"/>
      <c r="J12" s="196" t="s">
        <v>11</v>
      </c>
      <c r="K12" s="96" t="s">
        <v>292</v>
      </c>
      <c r="L12" s="97"/>
      <c r="M12" s="98"/>
      <c r="N12" s="99" t="s">
        <v>251</v>
      </c>
      <c r="O12" s="94"/>
      <c r="P12" s="95"/>
      <c r="T12" s="127"/>
    </row>
    <row r="13" spans="1:22" ht="18.75" customHeight="1" x14ac:dyDescent="0.3">
      <c r="A13" s="102">
        <v>45</v>
      </c>
      <c r="B13" s="197" t="s">
        <v>308</v>
      </c>
      <c r="C13" s="198" t="s">
        <v>294</v>
      </c>
      <c r="D13" s="199" t="s">
        <v>309</v>
      </c>
      <c r="E13" s="200" t="s">
        <v>310</v>
      </c>
      <c r="F13" s="201"/>
      <c r="G13" s="110" t="s">
        <v>294</v>
      </c>
      <c r="H13" s="202" t="s">
        <v>311</v>
      </c>
      <c r="I13" s="108"/>
      <c r="J13" s="198">
        <v>1</v>
      </c>
      <c r="K13" s="109"/>
      <c r="L13" s="110" t="s">
        <v>294</v>
      </c>
      <c r="M13" s="111"/>
      <c r="N13" s="203" t="s">
        <v>278</v>
      </c>
      <c r="O13" s="113"/>
      <c r="P13" s="114"/>
      <c r="T13" s="127"/>
    </row>
    <row r="14" spans="1:22" ht="18.75" customHeight="1" x14ac:dyDescent="0.3">
      <c r="A14" s="116">
        <v>46</v>
      </c>
      <c r="B14" s="123"/>
      <c r="C14" s="118"/>
      <c r="D14" s="118"/>
      <c r="E14" s="204" t="s">
        <v>312</v>
      </c>
      <c r="F14" s="205"/>
      <c r="G14" s="124" t="s">
        <v>294</v>
      </c>
      <c r="H14" s="206" t="s">
        <v>313</v>
      </c>
      <c r="I14" s="122"/>
      <c r="J14" s="207">
        <v>2</v>
      </c>
      <c r="K14" s="123"/>
      <c r="L14" s="124" t="s">
        <v>294</v>
      </c>
      <c r="M14" s="125"/>
      <c r="N14" s="203" t="s">
        <v>279</v>
      </c>
      <c r="O14" s="127"/>
      <c r="P14" s="128"/>
      <c r="T14" s="127"/>
    </row>
    <row r="15" spans="1:22" ht="18.75" customHeight="1" x14ac:dyDescent="0.3">
      <c r="A15" s="116">
        <v>47</v>
      </c>
      <c r="B15" s="123"/>
      <c r="C15" s="118"/>
      <c r="D15" s="118"/>
      <c r="E15" s="204" t="s">
        <v>314</v>
      </c>
      <c r="F15" s="205"/>
      <c r="G15" s="124" t="s">
        <v>294</v>
      </c>
      <c r="H15" s="206" t="s">
        <v>315</v>
      </c>
      <c r="I15" s="122"/>
      <c r="J15" s="207">
        <v>3</v>
      </c>
      <c r="K15" s="123"/>
      <c r="L15" s="124" t="s">
        <v>294</v>
      </c>
      <c r="M15" s="125"/>
      <c r="N15" s="203" t="s">
        <v>274</v>
      </c>
      <c r="O15" s="127"/>
      <c r="P15" s="128"/>
      <c r="T15" s="127"/>
    </row>
    <row r="16" spans="1:22" ht="18.75" customHeight="1" x14ac:dyDescent="0.3">
      <c r="A16" s="116">
        <v>48</v>
      </c>
      <c r="B16" s="123"/>
      <c r="C16" s="118"/>
      <c r="D16" s="118"/>
      <c r="E16" s="204" t="s">
        <v>316</v>
      </c>
      <c r="F16" s="205"/>
      <c r="G16" s="124" t="s">
        <v>294</v>
      </c>
      <c r="H16" s="206" t="s">
        <v>317</v>
      </c>
      <c r="I16" s="122"/>
      <c r="J16" s="207">
        <v>4</v>
      </c>
      <c r="K16" s="123"/>
      <c r="L16" s="124" t="s">
        <v>294</v>
      </c>
      <c r="M16" s="125"/>
      <c r="N16" s="203" t="s">
        <v>273</v>
      </c>
      <c r="O16" s="127"/>
      <c r="P16" s="128"/>
      <c r="T16" s="127"/>
    </row>
    <row r="17" spans="1:25" ht="18.75" customHeight="1" x14ac:dyDescent="0.3">
      <c r="A17" s="116">
        <v>49</v>
      </c>
      <c r="B17" s="123"/>
      <c r="C17" s="118"/>
      <c r="D17" s="118"/>
      <c r="E17" s="204" t="s">
        <v>318</v>
      </c>
      <c r="F17" s="205"/>
      <c r="G17" s="124" t="s">
        <v>294</v>
      </c>
      <c r="H17" s="206" t="s">
        <v>319</v>
      </c>
      <c r="I17" s="122"/>
      <c r="J17" s="207">
        <v>5</v>
      </c>
      <c r="K17" s="123"/>
      <c r="L17" s="124" t="s">
        <v>294</v>
      </c>
      <c r="M17" s="125"/>
      <c r="N17" s="203" t="s">
        <v>267</v>
      </c>
      <c r="O17" s="208"/>
      <c r="P17" s="209"/>
      <c r="T17" s="127"/>
    </row>
    <row r="18" spans="1:25" ht="18.75" customHeight="1" x14ac:dyDescent="0.3">
      <c r="A18" s="116">
        <v>50</v>
      </c>
      <c r="B18" s="123"/>
      <c r="C18" s="118"/>
      <c r="D18" s="118"/>
      <c r="E18" s="204" t="s">
        <v>320</v>
      </c>
      <c r="F18" s="205"/>
      <c r="G18" s="124" t="s">
        <v>294</v>
      </c>
      <c r="H18" s="206" t="s">
        <v>321</v>
      </c>
      <c r="I18" s="122"/>
      <c r="J18" s="207">
        <v>6</v>
      </c>
      <c r="K18" s="123"/>
      <c r="L18" s="124" t="s">
        <v>294</v>
      </c>
      <c r="M18" s="125"/>
      <c r="N18" s="203" t="s">
        <v>266</v>
      </c>
      <c r="O18" s="127"/>
      <c r="P18" s="128"/>
      <c r="T18" s="127"/>
    </row>
    <row r="19" spans="1:25" ht="18.75" customHeight="1" x14ac:dyDescent="0.3">
      <c r="A19" s="116">
        <v>51</v>
      </c>
      <c r="B19" s="123"/>
      <c r="C19" s="118"/>
      <c r="D19" s="118"/>
      <c r="E19" s="204" t="s">
        <v>322</v>
      </c>
      <c r="F19" s="205"/>
      <c r="G19" s="124" t="s">
        <v>294</v>
      </c>
      <c r="H19" s="206" t="s">
        <v>323</v>
      </c>
      <c r="I19" s="122"/>
      <c r="J19" s="207">
        <v>7</v>
      </c>
      <c r="K19" s="123"/>
      <c r="L19" s="124" t="s">
        <v>294</v>
      </c>
      <c r="M19" s="125"/>
      <c r="N19" s="203" t="s">
        <v>324</v>
      </c>
      <c r="O19" s="127"/>
      <c r="P19" s="128"/>
      <c r="T19" s="127"/>
    </row>
    <row r="20" spans="1:25" ht="18.75" customHeight="1" x14ac:dyDescent="0.3">
      <c r="A20" s="131">
        <v>52</v>
      </c>
      <c r="B20" s="138"/>
      <c r="C20" s="133"/>
      <c r="D20" s="133"/>
      <c r="E20" s="210" t="s">
        <v>325</v>
      </c>
      <c r="F20" s="211"/>
      <c r="G20" s="139" t="s">
        <v>294</v>
      </c>
      <c r="H20" s="212" t="s">
        <v>326</v>
      </c>
      <c r="I20" s="137"/>
      <c r="J20" s="213">
        <v>8</v>
      </c>
      <c r="K20" s="138"/>
      <c r="L20" s="139" t="s">
        <v>294</v>
      </c>
      <c r="M20" s="140"/>
      <c r="N20" s="214" t="s">
        <v>258</v>
      </c>
      <c r="O20" s="142"/>
      <c r="P20" s="143"/>
    </row>
    <row r="21" spans="1:25" ht="18.75" customHeight="1" x14ac:dyDescent="0.3">
      <c r="V21" s="187"/>
    </row>
    <row r="22" spans="1:25" ht="18.75" customHeight="1" x14ac:dyDescent="0.3">
      <c r="A22" s="193" t="s">
        <v>327</v>
      </c>
      <c r="B22" s="133"/>
      <c r="C22" s="133"/>
      <c r="D22" s="133"/>
      <c r="E22" s="136"/>
      <c r="F22" s="136"/>
      <c r="G22" s="133"/>
      <c r="H22" s="136"/>
      <c r="I22" s="136"/>
      <c r="J22" s="182"/>
      <c r="K22" s="133"/>
      <c r="L22" s="139"/>
      <c r="M22" s="139"/>
      <c r="N22" s="142"/>
      <c r="O22" s="142"/>
      <c r="P22" s="142"/>
    </row>
    <row r="23" spans="1:25" ht="18.75" customHeight="1" x14ac:dyDescent="0.3">
      <c r="A23" s="91" t="s">
        <v>289</v>
      </c>
      <c r="B23" s="92" t="s">
        <v>290</v>
      </c>
      <c r="C23" s="92"/>
      <c r="D23" s="92"/>
      <c r="E23" s="93" t="s">
        <v>291</v>
      </c>
      <c r="F23" s="94"/>
      <c r="G23" s="94"/>
      <c r="H23" s="94"/>
      <c r="I23" s="95"/>
      <c r="J23" s="196" t="s">
        <v>11</v>
      </c>
      <c r="K23" s="96" t="s">
        <v>292</v>
      </c>
      <c r="L23" s="97"/>
      <c r="M23" s="98"/>
      <c r="N23" s="215" t="s">
        <v>251</v>
      </c>
      <c r="O23" s="94"/>
      <c r="P23" s="95"/>
      <c r="T23" s="26"/>
    </row>
    <row r="24" spans="1:25" ht="18.75" customHeight="1" x14ac:dyDescent="0.3">
      <c r="A24" s="102">
        <v>53</v>
      </c>
      <c r="B24" s="197" t="s">
        <v>328</v>
      </c>
      <c r="C24" s="198" t="s">
        <v>294</v>
      </c>
      <c r="D24" s="216" t="s">
        <v>329</v>
      </c>
      <c r="E24" s="200" t="str">
        <f>IF(AND(Finales!K13&lt;&gt;"",Finales!M13&lt;&gt;""),IF(Finales!K13&gt;Finales!M13,Finales!E13,IF(Finales!K13&lt;Finales!M13,Finales!H13,"Winnaar 45")),"Winnaar 45")</f>
        <v>Winnaar 45</v>
      </c>
      <c r="F24" s="201"/>
      <c r="G24" s="110" t="s">
        <v>294</v>
      </c>
      <c r="H24" s="202" t="str">
        <f>IF(AND(Finales!K14&lt;&gt;"",Finales!M14&lt;&gt;""),IF(Finales!K14&gt;Finales!M14,Finales!E14,IF(Finales!K14&lt;Finales!M14,Finales!H14,"Winnaar 46")),"Winnaar 46")</f>
        <v>Winnaar 46</v>
      </c>
      <c r="I24" s="108"/>
      <c r="J24" s="198">
        <v>1</v>
      </c>
      <c r="K24" s="109"/>
      <c r="L24" s="110" t="s">
        <v>294</v>
      </c>
      <c r="M24" s="111"/>
      <c r="N24" s="203" t="s">
        <v>260</v>
      </c>
      <c r="O24" s="113"/>
      <c r="P24" s="114"/>
    </row>
    <row r="25" spans="1:25" ht="18.75" customHeight="1" x14ac:dyDescent="0.3">
      <c r="A25" s="116">
        <v>54</v>
      </c>
      <c r="B25" s="123"/>
      <c r="C25" s="118"/>
      <c r="D25" s="217"/>
      <c r="E25" s="204" t="str">
        <f>IF(AND(Finales!K15&lt;&gt;"",Finales!M15&lt;&gt;""),IF(Finales!K15&gt;Finales!M15,Finales!E15,IF(Finales!K15&lt;Finales!M15,Finales!H15,"Winnaar 47")),"Winnaar 47")</f>
        <v>Winnaar 47</v>
      </c>
      <c r="F25" s="205"/>
      <c r="G25" s="124" t="s">
        <v>294</v>
      </c>
      <c r="H25" s="206" t="str">
        <f>IF(AND(Finales!K16&lt;&gt;"",Finales!M16&lt;&gt;""),IF(Finales!K16&gt;Finales!M16,Finales!E16,IF(Finales!K16&lt;Finales!M16,Finales!H16,"Winnaar 48")),"Winnaar 48")</f>
        <v>Winnaar 48</v>
      </c>
      <c r="I25" s="122"/>
      <c r="J25" s="207">
        <v>2</v>
      </c>
      <c r="K25" s="123"/>
      <c r="L25" s="124" t="s">
        <v>294</v>
      </c>
      <c r="M25" s="125"/>
      <c r="N25" s="203" t="s">
        <v>256</v>
      </c>
      <c r="O25" s="127"/>
      <c r="P25" s="128"/>
      <c r="T25" s="26"/>
    </row>
    <row r="26" spans="1:25" ht="18.75" customHeight="1" x14ac:dyDescent="0.3">
      <c r="A26" s="116">
        <v>55</v>
      </c>
      <c r="B26" s="123"/>
      <c r="C26" s="118"/>
      <c r="D26" s="217"/>
      <c r="E26" s="204" t="str">
        <f>IF(AND(Finales!K17&lt;&gt;"",Finales!M17&lt;&gt;""),IF(Finales!K17&gt;Finales!M17,Finales!E17,IF(Finales!K17&lt;Finales!M17,Finales!H17,"Winnaar 49")),"Winnaar 49")</f>
        <v>Winnaar 49</v>
      </c>
      <c r="F26" s="205"/>
      <c r="G26" s="124" t="s">
        <v>294</v>
      </c>
      <c r="H26" s="206" t="str">
        <f>IF(AND(Finales!K18&lt;&gt;"",Finales!M18&lt;&gt;""),IF(Finales!K18&gt;Finales!M18,Finales!E18,IF(Finales!K18&lt;Finales!M18,Finales!H18,"Winnaar 50")),"Winnaar 50")</f>
        <v>Winnaar 50</v>
      </c>
      <c r="I26" s="122"/>
      <c r="J26" s="207">
        <v>3</v>
      </c>
      <c r="K26" s="123"/>
      <c r="L26" s="124" t="s">
        <v>294</v>
      </c>
      <c r="M26" s="125"/>
      <c r="N26" s="203" t="s">
        <v>252</v>
      </c>
      <c r="O26" s="127"/>
      <c r="P26" s="128"/>
      <c r="V26" s="187"/>
    </row>
    <row r="27" spans="1:25" ht="18.75" customHeight="1" x14ac:dyDescent="0.3">
      <c r="A27" s="131">
        <v>56</v>
      </c>
      <c r="B27" s="138"/>
      <c r="C27" s="133"/>
      <c r="D27" s="218"/>
      <c r="E27" s="210" t="str">
        <f>IF(AND(Finales!K19&lt;&gt;"",Finales!M19&lt;&gt;""),IF(Finales!K19&gt;Finales!M19,Finales!E19,IF(Finales!K19&lt;Finales!M19,Finales!H19,"Winnaar 51")),"Winnaar 51")</f>
        <v>Winnaar 51</v>
      </c>
      <c r="F27" s="211"/>
      <c r="G27" s="139" t="s">
        <v>294</v>
      </c>
      <c r="H27" s="212" t="str">
        <f>IF(AND(Finales!K20&lt;&gt;"",Finales!M20&lt;&gt;""),IF(Finales!K20&gt;Finales!M20,Finales!E20,IF(Finales!K20&lt;Finales!M20,Finales!H20,"Winnaar 52")),"Winnaar 52")</f>
        <v>Winnaar 52</v>
      </c>
      <c r="I27" s="137"/>
      <c r="J27" s="213">
        <v>4</v>
      </c>
      <c r="K27" s="138"/>
      <c r="L27" s="139" t="s">
        <v>294</v>
      </c>
      <c r="M27" s="140"/>
      <c r="N27" s="203" t="s">
        <v>254</v>
      </c>
      <c r="O27" s="142"/>
      <c r="P27" s="143"/>
      <c r="V27" s="187"/>
    </row>
    <row r="28" spans="1:25" ht="18.75" customHeight="1" x14ac:dyDescent="0.3">
      <c r="A28" s="219"/>
      <c r="B28" s="104"/>
      <c r="C28" s="104"/>
      <c r="D28" s="104"/>
      <c r="E28" s="202"/>
      <c r="F28" s="201"/>
      <c r="G28" s="110"/>
      <c r="H28" s="202"/>
      <c r="I28" s="107"/>
      <c r="J28" s="104"/>
      <c r="K28" s="104"/>
      <c r="L28" s="110"/>
      <c r="M28" s="110"/>
      <c r="N28" s="113"/>
      <c r="O28" s="113"/>
      <c r="P28" s="113"/>
      <c r="Q28" s="4" t="s">
        <v>330</v>
      </c>
      <c r="T28" s="26"/>
    </row>
    <row r="29" spans="1:25" ht="18.75" customHeight="1" x14ac:dyDescent="0.3">
      <c r="A29" s="144"/>
      <c r="B29" s="118"/>
      <c r="C29" s="118"/>
      <c r="D29" s="118"/>
      <c r="E29" s="205"/>
      <c r="F29" s="205"/>
      <c r="G29" s="124"/>
      <c r="H29" s="205"/>
      <c r="I29" s="121"/>
      <c r="J29" s="179"/>
      <c r="K29" s="118"/>
      <c r="L29" s="124"/>
      <c r="M29" s="124"/>
      <c r="N29" s="127"/>
      <c r="O29" s="127"/>
      <c r="P29" s="127"/>
      <c r="T29" s="26"/>
      <c r="Y29" s="187"/>
    </row>
    <row r="30" spans="1:25" ht="18.75" customHeight="1" x14ac:dyDescent="0.3">
      <c r="A30" s="193" t="s">
        <v>331</v>
      </c>
      <c r="B30" s="133"/>
      <c r="C30" s="133"/>
      <c r="D30" s="133"/>
      <c r="E30" s="211"/>
      <c r="F30" s="211"/>
      <c r="G30" s="139"/>
      <c r="H30" s="211"/>
      <c r="I30" s="136"/>
      <c r="J30" s="182"/>
      <c r="K30" s="133"/>
      <c r="L30" s="139"/>
      <c r="M30" s="139"/>
      <c r="N30" s="142"/>
      <c r="O30" s="142"/>
      <c r="P30" s="142"/>
      <c r="T30" s="26"/>
    </row>
    <row r="31" spans="1:25" ht="18.75" customHeight="1" x14ac:dyDescent="0.3">
      <c r="A31" s="91" t="s">
        <v>289</v>
      </c>
      <c r="B31" s="92" t="s">
        <v>290</v>
      </c>
      <c r="C31" s="92"/>
      <c r="D31" s="92"/>
      <c r="E31" s="93" t="s">
        <v>291</v>
      </c>
      <c r="F31" s="94"/>
      <c r="G31" s="94"/>
      <c r="H31" s="94"/>
      <c r="I31" s="95"/>
      <c r="J31" s="196" t="s">
        <v>11</v>
      </c>
      <c r="K31" s="96" t="s">
        <v>292</v>
      </c>
      <c r="L31" s="97"/>
      <c r="M31" s="98"/>
      <c r="N31" s="99" t="s">
        <v>251</v>
      </c>
      <c r="O31" s="94"/>
      <c r="P31" s="95"/>
      <c r="T31" s="26"/>
      <c r="Y31" s="187"/>
    </row>
    <row r="32" spans="1:25" ht="18.75" customHeight="1" x14ac:dyDescent="0.3">
      <c r="A32" s="102">
        <v>57</v>
      </c>
      <c r="B32" s="197" t="s">
        <v>332</v>
      </c>
      <c r="C32" s="198" t="s">
        <v>294</v>
      </c>
      <c r="D32" s="216" t="s">
        <v>333</v>
      </c>
      <c r="E32" s="200" t="str">
        <f>IF(AND(Finales!K24&lt;&gt;"",Finales!M24&lt;&gt;""),IF(Finales!K24&gt;Finales!M24,Finales!E24,IF(Finales!K24&lt;Finales!M24,Finales!H24,"Winnaar 53")),"Winnaar 53")</f>
        <v>Winnaar 53</v>
      </c>
      <c r="F32" s="201"/>
      <c r="G32" s="110" t="s">
        <v>294</v>
      </c>
      <c r="H32" s="202" t="str">
        <f>IF(AND(Finales!K25&lt;&gt;"",Finales!M25&lt;&gt;""),IF(Finales!K25&gt;Finales!M25,Finales!E25,IF(Finales!K25&lt;Finales!M25,Finales!H25,"Winnaar 54")),"Winnaar 54")</f>
        <v>Winnaar 54</v>
      </c>
      <c r="I32" s="108"/>
      <c r="J32" s="198">
        <v>1</v>
      </c>
      <c r="K32" s="109"/>
      <c r="L32" s="110" t="s">
        <v>294</v>
      </c>
      <c r="M32" s="111"/>
      <c r="N32" s="203" t="s">
        <v>274</v>
      </c>
      <c r="O32" s="113"/>
      <c r="P32" s="114"/>
      <c r="T32" s="26"/>
      <c r="Y32" s="187"/>
    </row>
    <row r="33" spans="1:25" ht="18.75" customHeight="1" x14ac:dyDescent="0.3">
      <c r="A33" s="131">
        <v>58</v>
      </c>
      <c r="B33" s="138"/>
      <c r="C33" s="133"/>
      <c r="D33" s="218"/>
      <c r="E33" s="210" t="str">
        <f>IF(AND(Finales!K26&lt;&gt;"",Finales!M26&lt;&gt;""),IF(Finales!K26&gt;Finales!M26,Finales!E26,IF(Finales!K26&lt;Finales!M26,Finales!H26,"Winnaar 55")),"Winnaar 55")</f>
        <v>Winnaar 55</v>
      </c>
      <c r="F33" s="211"/>
      <c r="G33" s="139" t="s">
        <v>294</v>
      </c>
      <c r="H33" s="212" t="str">
        <f>IF(AND(Finales!K27&lt;&gt;"",Finales!M27&lt;&gt;""),IF(Finales!K27&gt;Finales!M27,Finales!E27,IF(Finales!K27&lt;Finales!M27,Finales!H27,"Winnaar 56")),"Winnaar 56")</f>
        <v>Winnaar 56</v>
      </c>
      <c r="I33" s="137"/>
      <c r="J33" s="213">
        <v>2</v>
      </c>
      <c r="K33" s="138"/>
      <c r="L33" s="139" t="s">
        <v>294</v>
      </c>
      <c r="M33" s="140"/>
      <c r="N33" s="203" t="s">
        <v>273</v>
      </c>
      <c r="O33" s="142"/>
      <c r="P33" s="143"/>
      <c r="T33" s="26"/>
      <c r="Y33" s="187"/>
    </row>
    <row r="34" spans="1:25" ht="18.75" customHeight="1" x14ac:dyDescent="0.3">
      <c r="A34" s="219"/>
      <c r="B34" s="104"/>
      <c r="C34" s="104"/>
      <c r="D34" s="104"/>
      <c r="E34" s="202"/>
      <c r="F34" s="201"/>
      <c r="G34" s="110"/>
      <c r="H34" s="202"/>
      <c r="I34" s="107"/>
      <c r="J34" s="104"/>
      <c r="K34" s="104"/>
      <c r="L34" s="110"/>
      <c r="M34" s="110"/>
      <c r="N34" s="113"/>
      <c r="O34" s="113"/>
      <c r="P34" s="113"/>
      <c r="T34" s="26"/>
      <c r="W34" s="26"/>
    </row>
    <row r="35" spans="1:25" ht="18.75" customHeight="1" x14ac:dyDescent="0.3">
      <c r="A35" s="144"/>
      <c r="B35" s="118"/>
      <c r="C35" s="118"/>
      <c r="D35" s="118"/>
      <c r="E35" s="205"/>
      <c r="F35" s="205"/>
      <c r="G35" s="124"/>
      <c r="H35" s="205"/>
      <c r="I35" s="121"/>
      <c r="J35" s="179"/>
      <c r="K35" s="118"/>
      <c r="L35" s="124"/>
      <c r="M35" s="124"/>
      <c r="N35" s="127"/>
      <c r="O35" s="127"/>
      <c r="P35" s="127"/>
      <c r="W35" s="26"/>
    </row>
    <row r="36" spans="1:25" ht="18.75" customHeight="1" x14ac:dyDescent="0.3">
      <c r="A36" s="193" t="s">
        <v>334</v>
      </c>
      <c r="B36" s="133"/>
      <c r="C36" s="193"/>
      <c r="D36" s="193" t="s">
        <v>335</v>
      </c>
      <c r="E36" s="193" t="s">
        <v>336</v>
      </c>
      <c r="F36" s="211"/>
      <c r="G36" s="139"/>
      <c r="H36" s="211"/>
      <c r="I36" s="136"/>
      <c r="J36" s="182"/>
      <c r="K36" s="133"/>
      <c r="L36" s="139"/>
      <c r="M36" s="139"/>
      <c r="N36" s="142"/>
      <c r="O36" s="142"/>
      <c r="P36" s="142"/>
      <c r="V36" s="187"/>
      <c r="W36" s="26"/>
    </row>
    <row r="37" spans="1:25" ht="18.75" customHeight="1" x14ac:dyDescent="0.3">
      <c r="A37" s="91" t="s">
        <v>289</v>
      </c>
      <c r="B37" s="92" t="s">
        <v>290</v>
      </c>
      <c r="C37" s="92"/>
      <c r="D37" s="92"/>
      <c r="E37" s="93" t="s">
        <v>291</v>
      </c>
      <c r="F37" s="94"/>
      <c r="G37" s="94"/>
      <c r="H37" s="94"/>
      <c r="I37" s="95"/>
      <c r="J37" s="196" t="s">
        <v>11</v>
      </c>
      <c r="K37" s="96" t="s">
        <v>292</v>
      </c>
      <c r="L37" s="97"/>
      <c r="M37" s="98"/>
      <c r="N37" s="99" t="s">
        <v>251</v>
      </c>
      <c r="O37" s="94"/>
      <c r="P37" s="95"/>
      <c r="W37" s="26"/>
    </row>
    <row r="38" spans="1:25" ht="18.75" customHeight="1" x14ac:dyDescent="0.3">
      <c r="A38" s="102">
        <v>59</v>
      </c>
      <c r="B38" s="197" t="s">
        <v>337</v>
      </c>
      <c r="C38" s="198" t="s">
        <v>294</v>
      </c>
      <c r="D38" s="216" t="s">
        <v>338</v>
      </c>
      <c r="E38" s="200" t="str">
        <f>IF(AND(Finales!K32&lt;&gt;"",Finales!M32&lt;&gt;""),IF(Finales!K32&gt;Finales!M32,Finales!E32,IF(Finales!K32&lt;Finales!M32,Finales!H32,"Winnaar 57")),"Winnaar 57")</f>
        <v>Winnaar 57</v>
      </c>
      <c r="F38" s="201"/>
      <c r="G38" s="110" t="s">
        <v>294</v>
      </c>
      <c r="H38" s="202" t="str">
        <f>IF(AND(Finales!K33&lt;&gt;"",Finales!M33&lt;&gt;""),IF(Finales!K33&gt;Finales!M33,Finales!E33,IF(Finales!K33&lt;Finales!M33,Finales!H33,"Winnaar 58")),"Winnaar 58")</f>
        <v>Winnaar 58</v>
      </c>
      <c r="I38" s="108"/>
      <c r="J38" s="198">
        <v>1</v>
      </c>
      <c r="K38" s="109"/>
      <c r="L38" s="110" t="s">
        <v>294</v>
      </c>
      <c r="M38" s="111"/>
      <c r="N38" s="203" t="s">
        <v>278</v>
      </c>
      <c r="O38" s="113"/>
      <c r="P38" s="114"/>
      <c r="W38" s="26"/>
    </row>
    <row r="39" spans="1:25" ht="18.75" customHeight="1" x14ac:dyDescent="0.3">
      <c r="A39" s="131">
        <v>60</v>
      </c>
      <c r="B39" s="138"/>
      <c r="C39" s="133"/>
      <c r="D39" s="218"/>
      <c r="E39" s="210" t="str">
        <f>IF(AND(Finales!K32&lt;&gt;"",Finales!M32&lt;&gt;""),IF(Finales!K32&lt;Finales!M32,Finales!E32,IF(Finales!K32&gt;Finales!M32,Finales!H32,"Verliezer 57")),"Verliezer 57")</f>
        <v>Verliezer 57</v>
      </c>
      <c r="F39" s="211"/>
      <c r="G39" s="139" t="s">
        <v>294</v>
      </c>
      <c r="H39" s="212" t="str">
        <f>IF(AND(Finales!K33&lt;&gt;"",Finales!M33&lt;&gt;""),IF(Finales!K33&lt;Finales!M33,Finales!E33,IF(Finales!K33&gt;Finales!M33,Finales!H33,"Verliezer 58")),"Verliezer 58")</f>
        <v>Verliezer 58</v>
      </c>
      <c r="I39" s="137"/>
      <c r="J39" s="213">
        <v>2</v>
      </c>
      <c r="K39" s="138"/>
      <c r="L39" s="139" t="s">
        <v>294</v>
      </c>
      <c r="M39" s="140"/>
      <c r="N39" s="203" t="s">
        <v>266</v>
      </c>
      <c r="O39" s="142"/>
      <c r="P39" s="143"/>
      <c r="W39" s="26"/>
    </row>
    <row r="40" spans="1:25" ht="18.75" customHeight="1" x14ac:dyDescent="0.3">
      <c r="A40" s="219"/>
      <c r="B40" s="104"/>
      <c r="C40" s="104"/>
      <c r="D40" s="104"/>
      <c r="E40" s="220"/>
      <c r="F40" s="107"/>
      <c r="G40" s="104"/>
      <c r="H40" s="220"/>
      <c r="I40" s="107"/>
      <c r="J40" s="104"/>
      <c r="K40" s="104"/>
      <c r="L40" s="110"/>
      <c r="M40" s="110"/>
      <c r="N40" s="113"/>
      <c r="O40" s="113"/>
      <c r="P40" s="113"/>
    </row>
    <row r="41" spans="1:25" ht="18.75" customHeight="1" x14ac:dyDescent="0.3">
      <c r="A41" s="221"/>
      <c r="B41" s="118"/>
      <c r="C41" s="118"/>
      <c r="D41" s="118"/>
      <c r="E41" s="222"/>
      <c r="F41" s="121"/>
      <c r="G41" s="118"/>
      <c r="H41" s="222"/>
      <c r="I41" s="121"/>
      <c r="J41" s="118"/>
      <c r="K41" s="118"/>
      <c r="L41" s="124"/>
      <c r="M41" s="124"/>
      <c r="N41" s="127"/>
      <c r="O41" s="127"/>
      <c r="P41" s="127"/>
    </row>
    <row r="42" spans="1:25" ht="18.75" customHeight="1" x14ac:dyDescent="0.3">
      <c r="A42" s="223" t="s">
        <v>339</v>
      </c>
      <c r="B42" s="118"/>
      <c r="C42" s="118"/>
      <c r="D42" s="118"/>
      <c r="E42" s="222"/>
      <c r="F42" s="121"/>
      <c r="G42" s="133"/>
      <c r="H42" s="224"/>
      <c r="I42" s="121"/>
      <c r="J42" s="225" t="s">
        <v>340</v>
      </c>
      <c r="K42" s="118"/>
      <c r="L42" s="124"/>
      <c r="M42" s="124"/>
      <c r="N42" s="127"/>
      <c r="O42" s="127"/>
      <c r="P42" s="142"/>
    </row>
    <row r="43" spans="1:25" ht="12.75" customHeight="1" x14ac:dyDescent="0.3">
      <c r="A43" s="144"/>
      <c r="B43" s="118"/>
      <c r="C43" s="118"/>
      <c r="D43" s="118"/>
      <c r="E43" s="222"/>
      <c r="F43" s="121"/>
      <c r="G43" s="118"/>
      <c r="H43" s="222"/>
      <c r="I43" s="121"/>
      <c r="J43" s="225"/>
      <c r="K43" s="118"/>
      <c r="L43" s="124"/>
      <c r="M43" s="124"/>
      <c r="N43" s="127"/>
      <c r="O43" s="127"/>
      <c r="P43" s="127"/>
    </row>
    <row r="44" spans="1:25" ht="15" customHeight="1" x14ac:dyDescent="0.3">
      <c r="A44" s="223" t="s">
        <v>341</v>
      </c>
      <c r="B44" s="118"/>
      <c r="C44" s="118"/>
      <c r="D44" s="118"/>
      <c r="E44" s="121"/>
      <c r="F44" s="121"/>
      <c r="G44" s="133"/>
      <c r="H44" s="133"/>
      <c r="I44" s="118"/>
      <c r="J44" s="225" t="s">
        <v>342</v>
      </c>
      <c r="K44" s="118"/>
      <c r="L44" s="124"/>
      <c r="M44" s="124"/>
      <c r="N44" s="127"/>
      <c r="O44" s="127"/>
      <c r="P44" s="142"/>
    </row>
    <row r="45" spans="1:25" ht="12.75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225"/>
      <c r="K45" s="118"/>
      <c r="L45" s="124"/>
      <c r="M45" s="124"/>
      <c r="N45" s="127"/>
      <c r="O45" s="127"/>
      <c r="P45" s="127"/>
    </row>
    <row r="46" spans="1:25" ht="15" customHeight="1" x14ac:dyDescent="0.3">
      <c r="A46" s="223" t="s">
        <v>343</v>
      </c>
      <c r="B46" s="118"/>
      <c r="C46" s="118"/>
      <c r="D46" s="118"/>
      <c r="E46" s="121"/>
      <c r="F46" s="121"/>
      <c r="G46" s="133"/>
      <c r="H46" s="133"/>
      <c r="I46" s="118"/>
      <c r="J46" s="225" t="s">
        <v>344</v>
      </c>
      <c r="K46" s="118"/>
      <c r="L46" s="124"/>
      <c r="M46" s="124"/>
      <c r="N46" s="127"/>
      <c r="O46" s="127"/>
      <c r="P46" s="142"/>
    </row>
    <row r="47" spans="1:25" ht="12.75" customHeight="1" x14ac:dyDescent="0.3">
      <c r="A47" s="144"/>
      <c r="B47" s="118"/>
      <c r="C47" s="118"/>
      <c r="D47" s="118"/>
      <c r="E47" s="121"/>
      <c r="F47" s="121"/>
      <c r="G47" s="118"/>
      <c r="H47" s="118"/>
      <c r="I47" s="118"/>
      <c r="J47" s="225"/>
      <c r="K47" s="118"/>
      <c r="L47" s="124"/>
      <c r="M47" s="124"/>
      <c r="N47" s="127"/>
      <c r="O47" s="127"/>
      <c r="P47" s="127"/>
    </row>
    <row r="48" spans="1:25" ht="12.75" customHeight="1" x14ac:dyDescent="0.3">
      <c r="A48" s="226"/>
      <c r="B48" s="118"/>
      <c r="C48" s="118"/>
      <c r="D48" s="118"/>
      <c r="E48" s="121"/>
      <c r="F48" s="121"/>
      <c r="G48" s="118"/>
      <c r="H48" s="118"/>
      <c r="I48" s="118"/>
      <c r="J48" s="179"/>
      <c r="K48" s="118"/>
      <c r="L48" s="124"/>
      <c r="M48" s="124"/>
      <c r="N48" s="127"/>
      <c r="O48" s="127"/>
      <c r="P48" s="127"/>
    </row>
    <row r="49" spans="1:16" ht="15" customHeight="1" x14ac:dyDescent="0.3">
      <c r="A49" s="223" t="s">
        <v>345</v>
      </c>
      <c r="B49" s="118"/>
      <c r="C49" s="118"/>
      <c r="D49" s="118"/>
      <c r="E49" s="121"/>
      <c r="F49" s="121"/>
      <c r="G49" s="133"/>
      <c r="H49" s="133"/>
      <c r="I49" s="118"/>
      <c r="J49" s="179"/>
      <c r="K49" s="118"/>
      <c r="L49" s="124"/>
      <c r="M49" s="124"/>
      <c r="N49" s="127"/>
      <c r="O49" s="127"/>
      <c r="P49" s="127"/>
    </row>
    <row r="50" spans="1:16" ht="12.75" customHeight="1" x14ac:dyDescent="0.3">
      <c r="A50" s="144"/>
      <c r="B50" s="118"/>
      <c r="C50" s="118"/>
      <c r="D50" s="118"/>
      <c r="E50" s="121"/>
      <c r="F50" s="121"/>
      <c r="G50" s="118"/>
      <c r="H50" s="118"/>
      <c r="I50" s="118"/>
      <c r="J50" s="179"/>
      <c r="K50" s="118"/>
      <c r="L50" s="124"/>
      <c r="M50" s="124"/>
      <c r="N50" s="127"/>
      <c r="O50" s="127"/>
      <c r="P50" s="127"/>
    </row>
    <row r="51" spans="1:16" ht="15" customHeight="1" x14ac:dyDescent="0.3">
      <c r="A51" s="223" t="s">
        <v>346</v>
      </c>
      <c r="B51" s="118"/>
      <c r="C51" s="118"/>
      <c r="D51" s="118"/>
      <c r="E51" s="121"/>
      <c r="F51" s="121"/>
      <c r="G51" s="133"/>
      <c r="H51" s="133"/>
      <c r="I51" s="118"/>
      <c r="J51" s="179"/>
      <c r="K51" s="118"/>
      <c r="L51" s="124"/>
      <c r="M51" s="124"/>
      <c r="N51" s="127"/>
      <c r="O51" s="127"/>
      <c r="P51" s="127"/>
    </row>
    <row r="52" spans="1:16" ht="12.75" customHeight="1" x14ac:dyDescent="0.3">
      <c r="A52" s="144"/>
      <c r="B52" s="118"/>
      <c r="C52" s="118"/>
      <c r="D52" s="118"/>
      <c r="E52" s="121"/>
      <c r="F52" s="121"/>
      <c r="G52" s="118"/>
      <c r="H52" s="118"/>
      <c r="I52" s="118"/>
      <c r="J52" s="179"/>
      <c r="K52" s="118"/>
      <c r="L52" s="124"/>
      <c r="M52" s="124"/>
      <c r="N52" s="127"/>
      <c r="O52" s="127"/>
      <c r="P52" s="127"/>
    </row>
    <row r="53" spans="1:16" ht="15" customHeight="1" x14ac:dyDescent="0.3">
      <c r="A53" s="223" t="s">
        <v>347</v>
      </c>
      <c r="B53" s="118"/>
      <c r="C53" s="118"/>
      <c r="D53" s="118"/>
      <c r="E53" s="121"/>
      <c r="F53" s="121"/>
      <c r="G53" s="133"/>
      <c r="H53" s="133"/>
      <c r="I53" s="118"/>
      <c r="J53" s="179"/>
      <c r="K53" s="118"/>
      <c r="L53" s="124"/>
      <c r="M53" s="124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  <row r="55" spans="1:16" ht="18.75" customHeight="1" x14ac:dyDescent="0.3">
      <c r="A55" s="227"/>
      <c r="B55" s="227"/>
      <c r="C55" s="2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</row>
  </sheetData>
  <mergeCells count="11">
    <mergeCell ref="B31:D31"/>
    <mergeCell ref="K31:M31"/>
    <mergeCell ref="B37:D37"/>
    <mergeCell ref="K37:M37"/>
    <mergeCell ref="A8:D8"/>
    <mergeCell ref="E8:N8"/>
    <mergeCell ref="O8:P8"/>
    <mergeCell ref="B12:D12"/>
    <mergeCell ref="K12:M12"/>
    <mergeCell ref="B23:D23"/>
    <mergeCell ref="K23:M2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0418B-FF52-45A7-96B0-4B4C83D0B737}">
  <sheetPr codeName="Blad31"/>
  <dimension ref="A1:V43"/>
  <sheetViews>
    <sheetView showGridLines="0" topLeftCell="A11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9.5546875" style="4" bestFit="1" customWidth="1"/>
    <col min="22" max="22" width="16.88671875" style="4" bestFit="1" customWidth="1"/>
    <col min="23" max="23" width="10.5546875" style="4" bestFit="1" customWidth="1"/>
    <col min="24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</row>
    <row r="6" spans="1:22" ht="14.4" x14ac:dyDescent="0.3">
      <c r="A6" s="6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  <c r="V10" s="228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  <c r="V11" s="228"/>
    </row>
    <row r="12" spans="1:22" ht="18" x14ac:dyDescent="0.3">
      <c r="A12" s="193" t="s">
        <v>348</v>
      </c>
      <c r="B12" s="194"/>
      <c r="C12" s="195"/>
      <c r="D12" s="194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5"/>
      <c r="V12" s="228"/>
    </row>
    <row r="13" spans="1:22" ht="18.75" customHeight="1" x14ac:dyDescent="0.3">
      <c r="A13" s="91" t="s">
        <v>289</v>
      </c>
      <c r="B13" s="92" t="s">
        <v>290</v>
      </c>
      <c r="C13" s="92"/>
      <c r="D13" s="92"/>
      <c r="E13" s="150" t="s">
        <v>291</v>
      </c>
      <c r="F13" s="149"/>
      <c r="G13" s="149"/>
      <c r="H13" s="94"/>
      <c r="I13" s="151"/>
      <c r="J13" s="196" t="s">
        <v>11</v>
      </c>
      <c r="K13" s="96" t="s">
        <v>292</v>
      </c>
      <c r="L13" s="97"/>
      <c r="M13" s="98"/>
      <c r="N13" s="99" t="s">
        <v>251</v>
      </c>
      <c r="O13" s="94"/>
      <c r="P13" s="95"/>
    </row>
    <row r="14" spans="1:22" ht="18.75" customHeight="1" x14ac:dyDescent="0.3">
      <c r="A14" s="102">
        <v>29</v>
      </c>
      <c r="B14" s="231">
        <v>0.71875</v>
      </c>
      <c r="C14" s="198" t="s">
        <v>294</v>
      </c>
      <c r="D14" s="232">
        <v>0.72291666666666665</v>
      </c>
      <c r="E14" s="200" t="s">
        <v>16</v>
      </c>
      <c r="F14" s="201"/>
      <c r="G14" s="110" t="s">
        <v>294</v>
      </c>
      <c r="H14" s="206" t="s">
        <v>349</v>
      </c>
      <c r="I14" s="108"/>
      <c r="J14" s="198">
        <v>1</v>
      </c>
      <c r="K14" s="109">
        <v>1</v>
      </c>
      <c r="L14" s="110" t="s">
        <v>294</v>
      </c>
      <c r="M14" s="111">
        <v>0</v>
      </c>
      <c r="N14" s="233" t="s">
        <v>252</v>
      </c>
      <c r="O14" s="113"/>
      <c r="P14" s="114"/>
    </row>
    <row r="15" spans="1:22" ht="18.75" customHeight="1" x14ac:dyDescent="0.3">
      <c r="A15" s="116">
        <v>30</v>
      </c>
      <c r="B15" s="123"/>
      <c r="C15" s="118"/>
      <c r="D15" s="118"/>
      <c r="E15" s="204" t="s">
        <v>350</v>
      </c>
      <c r="F15" s="205"/>
      <c r="G15" s="124" t="s">
        <v>294</v>
      </c>
      <c r="H15" s="206" t="s">
        <v>351</v>
      </c>
      <c r="I15" s="122"/>
      <c r="J15" s="207">
        <v>2</v>
      </c>
      <c r="K15" s="123">
        <v>0</v>
      </c>
      <c r="L15" s="124" t="s">
        <v>294</v>
      </c>
      <c r="M15" s="125">
        <v>1</v>
      </c>
      <c r="N15" s="234" t="s">
        <v>260</v>
      </c>
      <c r="O15" s="127"/>
      <c r="P15" s="128"/>
    </row>
    <row r="16" spans="1:22" ht="18.75" customHeight="1" x14ac:dyDescent="0.3">
      <c r="A16" s="116">
        <v>31</v>
      </c>
      <c r="B16" s="123"/>
      <c r="C16" s="118"/>
      <c r="D16" s="118"/>
      <c r="E16" s="204" t="s">
        <v>58</v>
      </c>
      <c r="F16" s="205"/>
      <c r="G16" s="124" t="s">
        <v>294</v>
      </c>
      <c r="H16" s="206" t="s">
        <v>352</v>
      </c>
      <c r="I16" s="122"/>
      <c r="J16" s="207">
        <v>3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</row>
    <row r="17" spans="1:22" ht="18.75" customHeight="1" x14ac:dyDescent="0.3">
      <c r="A17" s="116">
        <v>32</v>
      </c>
      <c r="B17" s="123"/>
      <c r="C17" s="118"/>
      <c r="D17" s="118"/>
      <c r="E17" s="204" t="s">
        <v>61</v>
      </c>
      <c r="F17" s="205"/>
      <c r="G17" s="124" t="s">
        <v>294</v>
      </c>
      <c r="H17" s="206" t="s">
        <v>353</v>
      </c>
      <c r="I17" s="122"/>
      <c r="J17" s="207">
        <v>4</v>
      </c>
      <c r="K17" s="123">
        <v>3</v>
      </c>
      <c r="L17" s="124" t="s">
        <v>294</v>
      </c>
      <c r="M17" s="125">
        <v>0</v>
      </c>
      <c r="N17" s="234" t="s">
        <v>267</v>
      </c>
      <c r="O17" s="127"/>
      <c r="P17" s="128"/>
    </row>
    <row r="18" spans="1:22" ht="18.75" customHeight="1" x14ac:dyDescent="0.3">
      <c r="A18" s="116">
        <v>33</v>
      </c>
      <c r="B18" s="123"/>
      <c r="C18" s="118"/>
      <c r="D18" s="118"/>
      <c r="E18" s="204" t="s">
        <v>354</v>
      </c>
      <c r="F18" s="205"/>
      <c r="G18" s="124" t="s">
        <v>294</v>
      </c>
      <c r="H18" s="206" t="s">
        <v>355</v>
      </c>
      <c r="I18" s="122"/>
      <c r="J18" s="207">
        <v>5</v>
      </c>
      <c r="K18" s="123">
        <v>1</v>
      </c>
      <c r="L18" s="124" t="s">
        <v>294</v>
      </c>
      <c r="M18" s="125">
        <v>0</v>
      </c>
      <c r="N18" s="234" t="s">
        <v>256</v>
      </c>
      <c r="O18" s="127"/>
      <c r="P18" s="128"/>
      <c r="Q18" s="4" t="s">
        <v>330</v>
      </c>
      <c r="T18" s="127"/>
      <c r="U18" s="222"/>
      <c r="V18" s="222"/>
    </row>
    <row r="19" spans="1:22" ht="18.75" customHeight="1" x14ac:dyDescent="0.3">
      <c r="A19" s="116">
        <v>34</v>
      </c>
      <c r="B19" s="123"/>
      <c r="C19" s="118"/>
      <c r="D19" s="118"/>
      <c r="E19" s="204" t="s">
        <v>84</v>
      </c>
      <c r="F19" s="205"/>
      <c r="G19" s="124" t="s">
        <v>294</v>
      </c>
      <c r="H19" s="206" t="s">
        <v>53</v>
      </c>
      <c r="I19" s="122"/>
      <c r="J19" s="207">
        <v>6</v>
      </c>
      <c r="K19" s="123">
        <v>0</v>
      </c>
      <c r="L19" s="124" t="s">
        <v>294</v>
      </c>
      <c r="M19" s="125">
        <v>1</v>
      </c>
      <c r="N19" s="234" t="s">
        <v>356</v>
      </c>
      <c r="O19" s="127"/>
      <c r="P19" s="128"/>
      <c r="T19" s="127"/>
      <c r="U19" s="222"/>
      <c r="V19" s="222"/>
    </row>
    <row r="20" spans="1:22" ht="18.75" customHeight="1" x14ac:dyDescent="0.3">
      <c r="A20" s="116">
        <v>35</v>
      </c>
      <c r="B20" s="123"/>
      <c r="C20" s="118"/>
      <c r="D20" s="118"/>
      <c r="E20" s="204" t="s">
        <v>57</v>
      </c>
      <c r="F20" s="205"/>
      <c r="G20" s="124" t="s">
        <v>294</v>
      </c>
      <c r="H20" s="206" t="s">
        <v>83</v>
      </c>
      <c r="I20" s="122"/>
      <c r="J20" s="207">
        <v>7</v>
      </c>
      <c r="K20" s="123">
        <v>0</v>
      </c>
      <c r="L20" s="124" t="s">
        <v>294</v>
      </c>
      <c r="M20" s="125">
        <v>1</v>
      </c>
      <c r="N20" s="234" t="s">
        <v>277</v>
      </c>
      <c r="O20" s="127"/>
      <c r="P20" s="128"/>
      <c r="T20" s="127"/>
      <c r="U20" s="222"/>
      <c r="V20" s="222"/>
    </row>
    <row r="21" spans="1:22" ht="18.75" customHeight="1" x14ac:dyDescent="0.3">
      <c r="A21" s="116">
        <v>36</v>
      </c>
      <c r="B21" s="123"/>
      <c r="C21" s="118"/>
      <c r="D21" s="118"/>
      <c r="E21" s="204" t="s">
        <v>122</v>
      </c>
      <c r="F21" s="205"/>
      <c r="G21" s="124" t="s">
        <v>294</v>
      </c>
      <c r="H21" s="206" t="s">
        <v>99</v>
      </c>
      <c r="I21" s="122"/>
      <c r="J21" s="207">
        <v>8</v>
      </c>
      <c r="K21" s="123">
        <v>1</v>
      </c>
      <c r="L21" s="124" t="s">
        <v>294</v>
      </c>
      <c r="M21" s="125">
        <v>0</v>
      </c>
      <c r="N21" s="234" t="s">
        <v>357</v>
      </c>
      <c r="O21" s="127"/>
      <c r="P21" s="128"/>
      <c r="T21" s="127"/>
      <c r="U21" s="222"/>
      <c r="V21" s="222"/>
    </row>
    <row r="22" spans="1:22" ht="18.75" customHeight="1" x14ac:dyDescent="0.3">
      <c r="A22" s="235">
        <v>37</v>
      </c>
      <c r="B22" s="123"/>
      <c r="C22" s="118"/>
      <c r="D22" s="217"/>
      <c r="E22" s="206" t="s">
        <v>64</v>
      </c>
      <c r="F22" s="205"/>
      <c r="G22" s="124" t="s">
        <v>294</v>
      </c>
      <c r="H22" s="206" t="s">
        <v>358</v>
      </c>
      <c r="I22" s="122"/>
      <c r="J22" s="236">
        <v>9</v>
      </c>
      <c r="K22" s="118">
        <v>0</v>
      </c>
      <c r="L22" s="124" t="s">
        <v>294</v>
      </c>
      <c r="M22" s="124">
        <v>2</v>
      </c>
      <c r="N22" s="234" t="s">
        <v>359</v>
      </c>
      <c r="O22" s="127"/>
      <c r="P22" s="128"/>
      <c r="T22" s="127"/>
      <c r="U22" s="222"/>
      <c r="V22" s="222"/>
    </row>
    <row r="23" spans="1:22" ht="18.75" customHeight="1" x14ac:dyDescent="0.3">
      <c r="A23" s="235">
        <v>38</v>
      </c>
      <c r="B23" s="123"/>
      <c r="C23" s="118"/>
      <c r="D23" s="217"/>
      <c r="E23" s="206" t="s">
        <v>54</v>
      </c>
      <c r="F23" s="205"/>
      <c r="G23" s="124" t="s">
        <v>294</v>
      </c>
      <c r="H23" s="206" t="s">
        <v>63</v>
      </c>
      <c r="I23" s="122"/>
      <c r="J23" s="236">
        <v>10</v>
      </c>
      <c r="K23" s="118">
        <v>4</v>
      </c>
      <c r="L23" s="124" t="s">
        <v>294</v>
      </c>
      <c r="M23" s="124">
        <v>0</v>
      </c>
      <c r="N23" s="234" t="s">
        <v>278</v>
      </c>
      <c r="O23" s="127"/>
      <c r="P23" s="128"/>
      <c r="T23" s="145"/>
      <c r="U23" s="222"/>
    </row>
    <row r="24" spans="1:22" ht="18.75" customHeight="1" x14ac:dyDescent="0.3">
      <c r="A24" s="235">
        <v>39</v>
      </c>
      <c r="B24" s="123"/>
      <c r="C24" s="118"/>
      <c r="D24" s="217"/>
      <c r="E24" s="206" t="s">
        <v>82</v>
      </c>
      <c r="F24" s="205"/>
      <c r="G24" s="124" t="s">
        <v>294</v>
      </c>
      <c r="H24" s="206" t="s">
        <v>34</v>
      </c>
      <c r="I24" s="122"/>
      <c r="J24" s="236">
        <v>11</v>
      </c>
      <c r="K24" s="118">
        <v>0</v>
      </c>
      <c r="L24" s="124" t="s">
        <v>294</v>
      </c>
      <c r="M24" s="124">
        <v>1</v>
      </c>
      <c r="N24" s="234" t="s">
        <v>273</v>
      </c>
      <c r="O24" s="127"/>
      <c r="P24" s="128"/>
      <c r="T24" s="127"/>
      <c r="U24" s="222"/>
      <c r="V24" s="222"/>
    </row>
    <row r="25" spans="1:22" ht="18.75" customHeight="1" x14ac:dyDescent="0.3">
      <c r="A25" s="235">
        <v>40</v>
      </c>
      <c r="B25" s="123"/>
      <c r="C25" s="118"/>
      <c r="D25" s="217"/>
      <c r="E25" s="206" t="s">
        <v>111</v>
      </c>
      <c r="F25" s="205"/>
      <c r="G25" s="124" t="s">
        <v>294</v>
      </c>
      <c r="H25" s="206" t="s">
        <v>134</v>
      </c>
      <c r="I25" s="122"/>
      <c r="J25" s="236">
        <v>12</v>
      </c>
      <c r="K25" s="118">
        <v>1</v>
      </c>
      <c r="L25" s="124" t="s">
        <v>294</v>
      </c>
      <c r="M25" s="124">
        <v>0</v>
      </c>
      <c r="N25" s="234" t="s">
        <v>254</v>
      </c>
      <c r="O25" s="127"/>
      <c r="P25" s="128"/>
      <c r="T25" s="127"/>
      <c r="U25" s="222"/>
      <c r="V25" s="26"/>
    </row>
    <row r="26" spans="1:22" ht="18.75" customHeight="1" x14ac:dyDescent="0.3">
      <c r="A26" s="235">
        <v>41</v>
      </c>
      <c r="B26" s="123"/>
      <c r="C26" s="118"/>
      <c r="D26" s="217"/>
      <c r="E26" s="206" t="s">
        <v>102</v>
      </c>
      <c r="F26" s="205"/>
      <c r="G26" s="124" t="s">
        <v>294</v>
      </c>
      <c r="H26" s="206" t="s">
        <v>360</v>
      </c>
      <c r="I26" s="122"/>
      <c r="J26" s="236">
        <v>13</v>
      </c>
      <c r="K26" s="118">
        <v>2</v>
      </c>
      <c r="L26" s="124" t="s">
        <v>294</v>
      </c>
      <c r="M26" s="124">
        <v>0</v>
      </c>
      <c r="N26" s="234" t="s">
        <v>361</v>
      </c>
      <c r="O26" s="127"/>
      <c r="P26" s="128"/>
      <c r="T26" s="127"/>
      <c r="V26" s="26"/>
    </row>
    <row r="27" spans="1:22" ht="18.75" customHeight="1" x14ac:dyDescent="0.3">
      <c r="A27" s="235">
        <v>42</v>
      </c>
      <c r="B27" s="123"/>
      <c r="C27" s="118"/>
      <c r="D27" s="217"/>
      <c r="E27" s="206" t="s">
        <v>143</v>
      </c>
      <c r="F27" s="205"/>
      <c r="G27" s="124" t="s">
        <v>294</v>
      </c>
      <c r="H27" s="206" t="s">
        <v>88</v>
      </c>
      <c r="I27" s="122"/>
      <c r="J27" s="236">
        <v>14</v>
      </c>
      <c r="K27" s="118">
        <v>4</v>
      </c>
      <c r="L27" s="124" t="s">
        <v>294</v>
      </c>
      <c r="M27" s="124">
        <v>0</v>
      </c>
      <c r="N27" s="234" t="s">
        <v>362</v>
      </c>
      <c r="O27" s="127"/>
      <c r="P27" s="128"/>
      <c r="T27" s="127"/>
      <c r="V27" s="26"/>
    </row>
    <row r="28" spans="1:22" ht="18.75" customHeight="1" x14ac:dyDescent="0.3">
      <c r="A28" s="235">
        <v>43</v>
      </c>
      <c r="B28" s="123"/>
      <c r="C28" s="118"/>
      <c r="D28" s="217"/>
      <c r="E28" s="206" t="s">
        <v>108</v>
      </c>
      <c r="F28" s="205"/>
      <c r="G28" s="124" t="s">
        <v>294</v>
      </c>
      <c r="H28" s="206" t="s">
        <v>363</v>
      </c>
      <c r="I28" s="122"/>
      <c r="J28" s="236">
        <v>15</v>
      </c>
      <c r="K28" s="118">
        <v>2</v>
      </c>
      <c r="L28" s="124" t="s">
        <v>294</v>
      </c>
      <c r="M28" s="124">
        <v>1</v>
      </c>
      <c r="N28" s="234" t="s">
        <v>364</v>
      </c>
      <c r="O28" s="127"/>
      <c r="P28" s="128"/>
      <c r="T28" s="127"/>
      <c r="V28" s="26"/>
    </row>
    <row r="29" spans="1:22" ht="18.75" customHeight="1" x14ac:dyDescent="0.3">
      <c r="A29" s="237">
        <v>44</v>
      </c>
      <c r="B29" s="138"/>
      <c r="C29" s="133"/>
      <c r="D29" s="218"/>
      <c r="E29" s="206" t="s">
        <v>107</v>
      </c>
      <c r="F29" s="211"/>
      <c r="G29" s="139" t="s">
        <v>294</v>
      </c>
      <c r="H29" s="206" t="s">
        <v>55</v>
      </c>
      <c r="I29" s="137"/>
      <c r="J29" s="238">
        <v>16</v>
      </c>
      <c r="K29" s="133">
        <v>4</v>
      </c>
      <c r="L29" s="139" t="s">
        <v>294</v>
      </c>
      <c r="M29" s="139">
        <v>0</v>
      </c>
      <c r="N29" s="214" t="s">
        <v>365</v>
      </c>
      <c r="O29" s="142"/>
      <c r="P29" s="143"/>
      <c r="T29" s="127"/>
      <c r="V29" s="26"/>
    </row>
    <row r="30" spans="1:22" ht="18.75" customHeight="1" x14ac:dyDescent="0.3">
      <c r="A30" s="239"/>
      <c r="B30" s="104"/>
      <c r="C30" s="104"/>
      <c r="D30" s="104"/>
      <c r="E30" s="201"/>
      <c r="F30" s="201"/>
      <c r="G30" s="110"/>
      <c r="H30" s="201"/>
      <c r="I30" s="107"/>
      <c r="J30" s="176"/>
      <c r="K30" s="104"/>
      <c r="L30" s="110"/>
      <c r="M30" s="110"/>
      <c r="N30" s="113"/>
      <c r="O30" s="113"/>
      <c r="P30" s="113"/>
      <c r="T30" s="127"/>
    </row>
    <row r="31" spans="1:22" ht="18.75" customHeight="1" x14ac:dyDescent="0.3">
      <c r="A31" s="144"/>
      <c r="B31" s="118"/>
      <c r="C31" s="118"/>
      <c r="D31" s="118"/>
      <c r="E31" s="205"/>
      <c r="F31" s="205"/>
      <c r="G31" s="124"/>
      <c r="H31" s="205"/>
      <c r="I31" s="121"/>
      <c r="J31" s="179"/>
      <c r="K31" s="118"/>
      <c r="L31" s="124"/>
      <c r="M31" s="124"/>
      <c r="N31" s="127"/>
      <c r="O31" s="127"/>
      <c r="P31" s="127"/>
      <c r="T31" s="127"/>
    </row>
    <row r="32" spans="1:22" ht="18.75" customHeight="1" x14ac:dyDescent="0.3">
      <c r="A32" s="240"/>
      <c r="B32" s="118"/>
      <c r="C32" s="118"/>
      <c r="D32" s="118"/>
      <c r="E32" s="205"/>
      <c r="F32" s="205"/>
      <c r="G32" s="124"/>
      <c r="H32" s="205"/>
      <c r="I32" s="121"/>
      <c r="J32" s="179"/>
      <c r="K32" s="118"/>
      <c r="L32" s="124"/>
      <c r="M32" s="124"/>
      <c r="N32" s="127"/>
      <c r="O32" s="127"/>
      <c r="P32" s="127"/>
      <c r="T32" s="127"/>
    </row>
    <row r="33" spans="1:20" ht="18" x14ac:dyDescent="0.3">
      <c r="A33" s="193" t="s">
        <v>307</v>
      </c>
      <c r="B33" s="194"/>
      <c r="C33" s="195"/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5"/>
      <c r="T33" s="127"/>
    </row>
    <row r="34" spans="1:20" ht="18.75" customHeight="1" x14ac:dyDescent="0.3">
      <c r="A34" s="91" t="s">
        <v>289</v>
      </c>
      <c r="B34" s="92" t="s">
        <v>290</v>
      </c>
      <c r="C34" s="92"/>
      <c r="D34" s="92"/>
      <c r="E34" s="150" t="s">
        <v>291</v>
      </c>
      <c r="F34" s="149"/>
      <c r="G34" s="149"/>
      <c r="H34" s="149"/>
      <c r="I34" s="151"/>
      <c r="J34" s="196" t="s">
        <v>11</v>
      </c>
      <c r="K34" s="96" t="s">
        <v>292</v>
      </c>
      <c r="L34" s="97"/>
      <c r="M34" s="98"/>
      <c r="N34" s="99" t="s">
        <v>251</v>
      </c>
      <c r="O34" s="94"/>
      <c r="P34" s="95"/>
      <c r="T34" s="127"/>
    </row>
    <row r="35" spans="1:20" ht="18.75" customHeight="1" x14ac:dyDescent="0.3">
      <c r="A35" s="102">
        <v>45</v>
      </c>
      <c r="B35" s="197" t="s">
        <v>328</v>
      </c>
      <c r="C35" s="198" t="s">
        <v>294</v>
      </c>
      <c r="D35" s="232">
        <v>0.73333333333333328</v>
      </c>
      <c r="E35" s="200" t="str">
        <f>IF(AND(K14&lt;&gt;"",M14&lt;&gt;""),IF(K14&gt;M14,E14,IF(K14&lt;M14,#REF!,"Winnaar 29")),"Winnaar 29")</f>
        <v>Maan M1</v>
      </c>
      <c r="F35" s="201"/>
      <c r="G35" s="110" t="s">
        <v>294</v>
      </c>
      <c r="H35" s="202" t="str">
        <f>IF(AND(K15&lt;&gt;"",M15&lt;&gt;""),IF(K15&gt;M15,E15,IF(K15&lt;M15,H15,"Winnaar 30")),"Winnaar 30")</f>
        <v>Vermeer M1</v>
      </c>
      <c r="I35" s="108"/>
      <c r="J35" s="198">
        <v>1</v>
      </c>
      <c r="K35" s="109">
        <v>0</v>
      </c>
      <c r="L35" s="110" t="s">
        <v>294</v>
      </c>
      <c r="M35" s="111">
        <v>1</v>
      </c>
      <c r="N35" s="203" t="s">
        <v>252</v>
      </c>
      <c r="O35" s="113"/>
      <c r="P35" s="114"/>
      <c r="T35" s="127"/>
    </row>
    <row r="36" spans="1:20" ht="18.75" customHeight="1" x14ac:dyDescent="0.3">
      <c r="A36" s="116">
        <v>46</v>
      </c>
      <c r="B36" s="123"/>
      <c r="C36" s="118"/>
      <c r="D36" s="118"/>
      <c r="E36" s="204" t="str">
        <f>IF(AND(K16&lt;&gt;"",M16&lt;&gt;""),IF(K16&gt;M16,E16,IF(K16&lt;M16,H16,"Winnaar 31")),"Winnaar 31")</f>
        <v>Maurits M1</v>
      </c>
      <c r="F36" s="205"/>
      <c r="G36" s="124" t="s">
        <v>294</v>
      </c>
      <c r="H36" s="206" t="s">
        <v>61</v>
      </c>
      <c r="I36" s="122"/>
      <c r="J36" s="207">
        <v>2</v>
      </c>
      <c r="K36" s="123">
        <v>0</v>
      </c>
      <c r="L36" s="124"/>
      <c r="M36" s="125">
        <v>2</v>
      </c>
      <c r="N36" s="203" t="s">
        <v>359</v>
      </c>
      <c r="O36" s="127"/>
      <c r="P36" s="128"/>
      <c r="T36" s="127"/>
    </row>
    <row r="37" spans="1:20" ht="18.75" customHeight="1" x14ac:dyDescent="0.3">
      <c r="A37" s="116">
        <v>47</v>
      </c>
      <c r="B37" s="123"/>
      <c r="C37" s="118"/>
      <c r="D37" s="118"/>
      <c r="E37" s="204" t="str">
        <f>IF(AND(K18&lt;&gt;"",M18&lt;&gt;""),IF(K18&gt;M18,E18,IF(K18&lt;M18,H18,"Winnaar 33")),"Winnaar 33")</f>
        <v>Horizon G5</v>
      </c>
      <c r="F37" s="205"/>
      <c r="G37" s="124" t="s">
        <v>294</v>
      </c>
      <c r="H37" s="206" t="s">
        <v>83</v>
      </c>
      <c r="I37" s="122"/>
      <c r="J37" s="207">
        <v>3</v>
      </c>
      <c r="K37" s="123">
        <v>0</v>
      </c>
      <c r="L37" s="124" t="s">
        <v>294</v>
      </c>
      <c r="M37" s="125">
        <v>3</v>
      </c>
      <c r="N37" s="203" t="s">
        <v>278</v>
      </c>
      <c r="O37" s="127"/>
      <c r="P37" s="128"/>
      <c r="T37" s="127"/>
    </row>
    <row r="38" spans="1:20" ht="18.75" customHeight="1" x14ac:dyDescent="0.3">
      <c r="A38" s="116">
        <v>48</v>
      </c>
      <c r="B38" s="123"/>
      <c r="C38" s="118"/>
      <c r="D38" s="118"/>
      <c r="E38" s="204" t="s">
        <v>53</v>
      </c>
      <c r="F38" s="205"/>
      <c r="G38" s="124" t="s">
        <v>294</v>
      </c>
      <c r="H38" s="206" t="str">
        <f>IF(AND(K21&lt;&gt;"",M21&lt;&gt;""),IF(K21&gt;M21,E21,IF(K21&lt;M21,H14,"Winnaar 36")),"Winnaar 36")</f>
        <v>Gabriël J3</v>
      </c>
      <c r="I38" s="122"/>
      <c r="J38" s="207">
        <v>4</v>
      </c>
      <c r="K38" s="123">
        <v>1</v>
      </c>
      <c r="L38" s="124" t="s">
        <v>294</v>
      </c>
      <c r="M38" s="125">
        <v>0</v>
      </c>
      <c r="N38" s="203" t="s">
        <v>271</v>
      </c>
      <c r="O38" s="127"/>
      <c r="P38" s="128"/>
      <c r="T38" s="127"/>
    </row>
    <row r="39" spans="1:20" ht="18.75" customHeight="1" x14ac:dyDescent="0.3">
      <c r="A39" s="116">
        <v>49</v>
      </c>
      <c r="B39" s="123"/>
      <c r="C39" s="118"/>
      <c r="D39" s="118"/>
      <c r="E39" s="204" t="str">
        <f>IF(AND(K22&lt;&gt;"",M22&lt;&gt;""),IF(K22&gt;M22,E22,IF(K22&lt;M22,H22,"Winnaar 37")),"Winnaar 37")</f>
        <v>Gabriël J5</v>
      </c>
      <c r="F39" s="205"/>
      <c r="G39" s="124" t="s">
        <v>294</v>
      </c>
      <c r="H39" s="206" t="str">
        <f>IF(AND(K23&lt;&gt;"",M23&lt;&gt;""),IF(K23&gt;M23,E23,IF(K23&lt;M23,H23,"Winnaar 38")),"Winnaar 38")</f>
        <v>DSV J1</v>
      </c>
      <c r="I39" s="122"/>
      <c r="J39" s="207">
        <v>5</v>
      </c>
      <c r="K39" s="123">
        <v>0</v>
      </c>
      <c r="L39" s="124" t="s">
        <v>294</v>
      </c>
      <c r="M39" s="125">
        <v>1</v>
      </c>
      <c r="N39" s="203" t="s">
        <v>266</v>
      </c>
      <c r="O39" s="208"/>
      <c r="P39" s="209"/>
      <c r="T39" s="127"/>
    </row>
    <row r="40" spans="1:20" ht="18.75" customHeight="1" x14ac:dyDescent="0.3">
      <c r="A40" s="116">
        <v>50</v>
      </c>
      <c r="B40" s="123"/>
      <c r="C40" s="118"/>
      <c r="D40" s="118"/>
      <c r="E40" s="204" t="str">
        <f>IF(AND(K24&lt;&gt;"",M24&lt;&gt;""),IF(K24&gt;M24,E24,IF(K24&lt;M24,H24,"Winnaar 39")),"Winnaar 39")</f>
        <v>Maan J1</v>
      </c>
      <c r="F40" s="205"/>
      <c r="G40" s="124" t="s">
        <v>294</v>
      </c>
      <c r="H40" s="206" t="str">
        <f>IF(AND(K25&lt;&gt;"",M25&lt;&gt;""),IF(K25&gt;M25,E25,IF(K25&lt;M25,H25,"Winnaar 40")),"Winnaar 40")</f>
        <v>Maurits J2</v>
      </c>
      <c r="I40" s="122"/>
      <c r="J40" s="207">
        <v>6</v>
      </c>
      <c r="K40" s="123">
        <v>1</v>
      </c>
      <c r="L40" s="124" t="s">
        <v>294</v>
      </c>
      <c r="M40" s="125">
        <v>0</v>
      </c>
      <c r="N40" s="203" t="s">
        <v>357</v>
      </c>
      <c r="O40" s="127"/>
      <c r="P40" s="128"/>
      <c r="T40" s="127"/>
    </row>
    <row r="41" spans="1:20" ht="18.75" customHeight="1" x14ac:dyDescent="0.3">
      <c r="A41" s="116">
        <v>51</v>
      </c>
      <c r="B41" s="123"/>
      <c r="C41" s="118"/>
      <c r="D41" s="118"/>
      <c r="E41" s="204" t="str">
        <f>IF(AND(K26&lt;&gt;"",M26&lt;&gt;""),IF(K26&gt;M26,E26,IF(K26&lt;M26,H26,"Winnaar 41")),"Winnaar 41")</f>
        <v>Maria J8</v>
      </c>
      <c r="F41" s="205"/>
      <c r="G41" s="124" t="s">
        <v>294</v>
      </c>
      <c r="H41" s="206" t="str">
        <f>IF(AND(K27&lt;&gt;"",M27&lt;&gt;""),IF(K27&gt;M27,E27,IF(K27&lt;M27,H27,"Winnaar 42")),"Winnaar 42")</f>
        <v>Galjoen J2</v>
      </c>
      <c r="I41" s="122"/>
      <c r="J41" s="207">
        <v>7</v>
      </c>
      <c r="K41" s="123">
        <v>0</v>
      </c>
      <c r="L41" s="124" t="s">
        <v>294</v>
      </c>
      <c r="M41" s="125">
        <v>1</v>
      </c>
      <c r="N41" s="203" t="s">
        <v>273</v>
      </c>
      <c r="O41" s="127"/>
      <c r="P41" s="128"/>
      <c r="T41" s="127"/>
    </row>
    <row r="42" spans="1:20" ht="18.75" customHeight="1" x14ac:dyDescent="0.3">
      <c r="A42" s="131">
        <v>52</v>
      </c>
      <c r="B42" s="138"/>
      <c r="C42" s="133"/>
      <c r="D42" s="133"/>
      <c r="E42" s="210" t="str">
        <f>IF(AND(K28&lt;&gt;"",M28&lt;&gt;""),IF(K28&gt;M28,E28,IF(K28&lt;M28,H28,"Winnaar 43")),"Winnaar 43")</f>
        <v>Maria J10</v>
      </c>
      <c r="F42" s="211"/>
      <c r="G42" s="139" t="s">
        <v>294</v>
      </c>
      <c r="H42" s="212" t="str">
        <f>IF(AND(K29&lt;&gt;"",M29&lt;&gt;""),IF(K29&gt;M29,E29,IF(K29&lt;M29,H29,"Winnaar 44")),"Winnaar 44")</f>
        <v>Maria J9</v>
      </c>
      <c r="I42" s="137"/>
      <c r="J42" s="213">
        <v>8</v>
      </c>
      <c r="K42" s="138">
        <v>2</v>
      </c>
      <c r="L42" s="139" t="s">
        <v>294</v>
      </c>
      <c r="M42" s="140">
        <v>0</v>
      </c>
      <c r="N42" s="203" t="s">
        <v>258</v>
      </c>
      <c r="O42" s="142"/>
      <c r="P42" s="143"/>
    </row>
    <row r="43" spans="1:20" ht="18.75" customHeight="1" x14ac:dyDescent="0.3">
      <c r="A43" s="239"/>
      <c r="B43" s="104"/>
      <c r="C43" s="104"/>
      <c r="D43" s="104"/>
      <c r="E43" s="107"/>
      <c r="F43" s="107"/>
      <c r="G43" s="104"/>
      <c r="H43" s="107"/>
      <c r="I43" s="107"/>
      <c r="J43" s="176"/>
      <c r="K43" s="104"/>
      <c r="L43" s="110"/>
      <c r="M43" s="110"/>
      <c r="N43" s="113"/>
      <c r="O43" s="113"/>
      <c r="P43" s="113"/>
    </row>
  </sheetData>
  <mergeCells count="7">
    <mergeCell ref="A8:D8"/>
    <mergeCell ref="E8:N8"/>
    <mergeCell ref="O8:P8"/>
    <mergeCell ref="B13:D13"/>
    <mergeCell ref="K13:M13"/>
    <mergeCell ref="B34:D34"/>
    <mergeCell ref="K34:M34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5DC4B-8F4E-4D8B-B055-0579F4D38A1B}">
  <sheetPr codeName="Blad33"/>
  <dimension ref="A1:Y54"/>
  <sheetViews>
    <sheetView showGridLines="0" topLeftCell="A3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</row>
    <row r="12" spans="1:22" ht="18.75" customHeight="1" x14ac:dyDescent="0.3">
      <c r="V12" s="187"/>
    </row>
    <row r="13" spans="1:22" ht="18.75" customHeight="1" x14ac:dyDescent="0.3">
      <c r="A13" s="193" t="s">
        <v>366</v>
      </c>
      <c r="B13" s="133"/>
      <c r="C13" s="133"/>
      <c r="D13" s="133"/>
      <c r="E13" s="136"/>
      <c r="F13" s="136"/>
      <c r="G13" s="133"/>
      <c r="H13" s="136"/>
      <c r="I13" s="136"/>
      <c r="J13" s="182"/>
      <c r="K13" s="133"/>
      <c r="L13" s="139"/>
      <c r="M13" s="139"/>
      <c r="N13" s="142"/>
      <c r="O13" s="142"/>
      <c r="P13" s="142"/>
    </row>
    <row r="14" spans="1:22" ht="18.75" customHeight="1" x14ac:dyDescent="0.3">
      <c r="A14" s="91" t="s">
        <v>289</v>
      </c>
      <c r="B14" s="92" t="s">
        <v>290</v>
      </c>
      <c r="C14" s="92"/>
      <c r="D14" s="92"/>
      <c r="E14" s="93" t="s">
        <v>291</v>
      </c>
      <c r="F14" s="94"/>
      <c r="G14" s="94"/>
      <c r="H14" s="94"/>
      <c r="I14" s="95"/>
      <c r="J14" s="196" t="s">
        <v>11</v>
      </c>
      <c r="K14" s="96" t="s">
        <v>292</v>
      </c>
      <c r="L14" s="97"/>
      <c r="M14" s="98"/>
      <c r="N14" s="215" t="s">
        <v>251</v>
      </c>
      <c r="O14" s="94"/>
      <c r="P14" s="95"/>
      <c r="T14" s="26"/>
    </row>
    <row r="15" spans="1:22" ht="18.75" customHeight="1" x14ac:dyDescent="0.3">
      <c r="A15" s="102">
        <v>53</v>
      </c>
      <c r="B15" s="231">
        <v>0.73958333333333337</v>
      </c>
      <c r="C15" s="198" t="s">
        <v>294</v>
      </c>
      <c r="D15" s="241">
        <v>0.74375000000000002</v>
      </c>
      <c r="E15" s="200" t="str">
        <f>IF(AND(Finales1!K35&lt;&gt;"",Finales1!M35&lt;&gt;""),IF(Finales1!K35&gt;Finales1!M35,Finales1!E35,IF(Finales1!K35&lt;Finales1!M35,Finales1!H35,"Winnaar 45")),"Winnaar 45")</f>
        <v>Vermeer M1</v>
      </c>
      <c r="F15" s="201"/>
      <c r="G15" s="110" t="s">
        <v>294</v>
      </c>
      <c r="H15" s="202" t="str">
        <f>IF(AND(Finales1!K36&lt;&gt;"",Finales1!M36&lt;&gt;""),IF(Finales1!K36&gt;Finales1!M36,Finales1!E36,IF(Finales1!K36&lt;Finales1!M36,Finales1!H36,"Winnaar 46")),"Winnaar 46")</f>
        <v>Maria G2</v>
      </c>
      <c r="I15" s="108"/>
      <c r="J15" s="198">
        <v>1</v>
      </c>
      <c r="K15" s="109">
        <v>0</v>
      </c>
      <c r="L15" s="110" t="s">
        <v>294</v>
      </c>
      <c r="M15" s="111">
        <v>2</v>
      </c>
      <c r="N15" s="203" t="s">
        <v>276</v>
      </c>
      <c r="O15" s="113"/>
      <c r="P15" s="114"/>
    </row>
    <row r="16" spans="1:22" ht="18.75" customHeight="1" x14ac:dyDescent="0.3">
      <c r="A16" s="116">
        <v>54</v>
      </c>
      <c r="B16" s="123"/>
      <c r="C16" s="118"/>
      <c r="D16" s="217"/>
      <c r="E16" s="204" t="str">
        <f>IF(AND(Finales1!K37&lt;&gt;"",Finales1!M37&lt;&gt;""),IF(Finales1!K37&gt;Finales1!M37,Finales1!E37,IF(Finales1!K37&lt;Finales1!M37,Finales1!H37,"Winnaar 47")),"Winnaar 47")</f>
        <v>Springwijs J1</v>
      </c>
      <c r="F16" s="205"/>
      <c r="G16" s="124" t="s">
        <v>294</v>
      </c>
      <c r="H16" s="206" t="str">
        <f>IF(AND(Finales1!K38&lt;&gt;"",Finales1!M38&lt;&gt;""),IF(Finales1!K38&gt;Finales1!M38,Finales1!E38,IF(Finales1!K38&lt;Finales1!M38,Finales1!H38,"Winnaar 48")),"Winnaar 48")</f>
        <v>BMS J1</v>
      </c>
      <c r="I16" s="122"/>
      <c r="J16" s="207">
        <v>2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  <c r="T16" s="26"/>
    </row>
    <row r="17" spans="1:25" ht="18.75" customHeight="1" x14ac:dyDescent="0.3">
      <c r="A17" s="116">
        <v>55</v>
      </c>
      <c r="B17" s="123"/>
      <c r="C17" s="118"/>
      <c r="D17" s="217"/>
      <c r="E17" s="204" t="str">
        <f>IF(AND(Finales1!K39&lt;&gt;"",Finales1!M39&lt;&gt;""),IF(Finales1!K39&gt;Finales1!M39,Finales1!E39,IF(Finales1!K39&lt;Finales1!M39,Finales1!H39,"Winnaar 49")),"Winnaar 49")</f>
        <v>DSV J1</v>
      </c>
      <c r="F17" s="205"/>
      <c r="G17" s="124" t="s">
        <v>294</v>
      </c>
      <c r="H17" s="206" t="str">
        <f>IF(AND(Finales1!K40&lt;&gt;"",Finales1!M40&lt;&gt;""),IF(Finales1!K40&gt;Finales1!M40,Finales1!E40,IF(Finales1!K40&lt;Finales1!M40,Finales1!H40,"Winnaar 50")),"Winnaar 50")</f>
        <v>Maan J1</v>
      </c>
      <c r="I17" s="122"/>
      <c r="J17" s="207">
        <v>3</v>
      </c>
      <c r="K17" s="123">
        <v>1</v>
      </c>
      <c r="L17" s="124" t="s">
        <v>294</v>
      </c>
      <c r="M17" s="125">
        <v>0</v>
      </c>
      <c r="N17" s="203" t="s">
        <v>356</v>
      </c>
      <c r="O17" s="127"/>
      <c r="P17" s="128"/>
      <c r="V17" s="187"/>
    </row>
    <row r="18" spans="1:25" ht="18.75" customHeight="1" x14ac:dyDescent="0.3">
      <c r="A18" s="131">
        <v>56</v>
      </c>
      <c r="B18" s="138"/>
      <c r="C18" s="133"/>
      <c r="D18" s="218"/>
      <c r="E18" s="210" t="str">
        <f>IF(AND(Finales1!K41&lt;&gt;"",Finales1!M41&lt;&gt;""),IF(Finales1!K41&gt;Finales1!M41,Finales1!E41,IF(Finales1!K41&lt;Finales1!M41,Finales1!H41,"Winnaar 51")),"Winnaar 51")</f>
        <v>Galjoen J2</v>
      </c>
      <c r="F18" s="211"/>
      <c r="G18" s="139" t="s">
        <v>294</v>
      </c>
      <c r="H18" s="212" t="str">
        <f>IF(AND(Finales1!K42&lt;&gt;"",Finales1!M42&lt;&gt;""),IF(Finales1!K42&gt;Finales1!M42,Finales1!E42,IF(Finales1!K42&lt;Finales1!M42,Finales1!H42,"Winnaar 52")),"Winnaar 52")</f>
        <v>Maria J10</v>
      </c>
      <c r="I18" s="137"/>
      <c r="J18" s="213">
        <v>4</v>
      </c>
      <c r="K18" s="138">
        <v>0</v>
      </c>
      <c r="L18" s="139" t="s">
        <v>294</v>
      </c>
      <c r="M18" s="140">
        <v>1</v>
      </c>
      <c r="N18" s="203" t="s">
        <v>367</v>
      </c>
      <c r="O18" s="142"/>
      <c r="P18" s="143"/>
      <c r="V18" s="187"/>
    </row>
    <row r="19" spans="1:25" ht="18.75" customHeight="1" x14ac:dyDescent="0.3">
      <c r="A19" s="219"/>
      <c r="B19" s="104"/>
      <c r="C19" s="104"/>
      <c r="D19" s="104"/>
      <c r="E19" s="202"/>
      <c r="F19" s="201"/>
      <c r="G19" s="110"/>
      <c r="H19" s="202"/>
      <c r="I19" s="107"/>
      <c r="J19" s="104"/>
      <c r="K19" s="104"/>
      <c r="L19" s="110"/>
      <c r="M19" s="110"/>
      <c r="N19" s="113"/>
      <c r="O19" s="113"/>
      <c r="P19" s="113"/>
      <c r="Q19" s="4" t="s">
        <v>330</v>
      </c>
      <c r="T19" s="26"/>
    </row>
    <row r="20" spans="1:25" ht="18.75" customHeight="1" x14ac:dyDescent="0.3">
      <c r="A20" s="144"/>
      <c r="B20" s="118"/>
      <c r="C20" s="118"/>
      <c r="D20" s="118"/>
      <c r="E20" s="205"/>
      <c r="F20" s="205"/>
      <c r="G20" s="124"/>
      <c r="H20" s="205"/>
      <c r="I20" s="121"/>
      <c r="J20" s="179"/>
      <c r="K20" s="118"/>
      <c r="L20" s="124"/>
      <c r="M20" s="124"/>
      <c r="N20" s="127"/>
      <c r="O20" s="127"/>
      <c r="P20" s="127"/>
      <c r="T20" s="26"/>
      <c r="Y20" s="187"/>
    </row>
    <row r="21" spans="1:25" ht="18.75" customHeight="1" x14ac:dyDescent="0.3">
      <c r="A21" s="193" t="s">
        <v>368</v>
      </c>
      <c r="B21" s="133"/>
      <c r="C21" s="133"/>
      <c r="D21" s="133"/>
      <c r="E21" s="211"/>
      <c r="F21" s="211"/>
      <c r="G21" s="139"/>
      <c r="H21" s="211"/>
      <c r="I21" s="136"/>
      <c r="J21" s="182"/>
      <c r="K21" s="133"/>
      <c r="L21" s="139"/>
      <c r="M21" s="139"/>
      <c r="N21" s="142"/>
      <c r="O21" s="142"/>
      <c r="P21" s="142"/>
      <c r="T21" s="26"/>
    </row>
    <row r="22" spans="1:25" ht="18.75" customHeight="1" x14ac:dyDescent="0.3">
      <c r="A22" s="91" t="s">
        <v>289</v>
      </c>
      <c r="B22" s="92" t="s">
        <v>290</v>
      </c>
      <c r="C22" s="92"/>
      <c r="D22" s="92"/>
      <c r="E22" s="93" t="s">
        <v>291</v>
      </c>
      <c r="F22" s="94"/>
      <c r="G22" s="94"/>
      <c r="H22" s="94"/>
      <c r="I22" s="95"/>
      <c r="J22" s="196" t="s">
        <v>11</v>
      </c>
      <c r="K22" s="96" t="s">
        <v>292</v>
      </c>
      <c r="L22" s="97"/>
      <c r="M22" s="98"/>
      <c r="N22" s="99" t="s">
        <v>251</v>
      </c>
      <c r="O22" s="94"/>
      <c r="P22" s="95"/>
      <c r="T22" s="26"/>
      <c r="Y22" s="187"/>
    </row>
    <row r="23" spans="1:25" ht="18.75" customHeight="1" x14ac:dyDescent="0.3">
      <c r="A23" s="102">
        <v>57</v>
      </c>
      <c r="B23" s="231">
        <v>0.74722222222222223</v>
      </c>
      <c r="C23" s="198" t="s">
        <v>294</v>
      </c>
      <c r="D23" s="241">
        <v>0.75138888888888888</v>
      </c>
      <c r="E23" s="200" t="str">
        <f>IF(AND(Finales2!K15&lt;&gt;"",Finales2!M15&lt;&gt;""),IF(Finales2!K15&gt;Finales2!M15,Finales2!E15,IF(Finales2!K15&lt;Finales2!M15,Finales2!H15,"Winnaar 53")),"Winnaar 53")</f>
        <v>Maria G2</v>
      </c>
      <c r="F23" s="201"/>
      <c r="G23" s="110" t="s">
        <v>294</v>
      </c>
      <c r="H23" s="202" t="str">
        <f>IF(AND(Finales2!K16&lt;&gt;"",Finales2!M16&lt;&gt;""),IF(Finales2!K16&gt;Finales2!M16,Finales2!E16,IF(Finales2!K16&lt;Finales2!M16,Finales2!H16,"Winnaar 54")),"Winnaar 54")</f>
        <v>Springwijs J1</v>
      </c>
      <c r="I23" s="108"/>
      <c r="J23" s="198">
        <v>1</v>
      </c>
      <c r="K23" s="109">
        <v>0</v>
      </c>
      <c r="L23" s="110" t="s">
        <v>294</v>
      </c>
      <c r="M23" s="111">
        <v>1</v>
      </c>
      <c r="N23" s="203" t="s">
        <v>359</v>
      </c>
      <c r="O23" s="113"/>
      <c r="P23" s="114"/>
      <c r="T23" s="26"/>
      <c r="Y23" s="187"/>
    </row>
    <row r="24" spans="1:25" ht="18.75" customHeight="1" x14ac:dyDescent="0.3">
      <c r="A24" s="131">
        <v>58</v>
      </c>
      <c r="B24" s="138"/>
      <c r="C24" s="133"/>
      <c r="D24" s="218"/>
      <c r="E24" s="210" t="str">
        <f>IF(AND(Finales2!K17&lt;&gt;"",Finales2!M17&lt;&gt;""),IF(Finales2!K17&gt;Finales2!M17,Finales2!E17,IF(Finales2!K17&lt;Finales2!M17,Finales2!H17,"Winnaar 55")),"Winnaar 55")</f>
        <v>DSV J1</v>
      </c>
      <c r="F24" s="211"/>
      <c r="G24" s="139" t="s">
        <v>294</v>
      </c>
      <c r="H24" s="212" t="str">
        <f>IF(AND(Finales2!K18&lt;&gt;"",Finales2!M18&lt;&gt;""),IF(Finales2!K18&gt;Finales2!M18,Finales2!E18,IF(Finales2!K18&lt;Finales2!M18,Finales2!H18,"Winnaar 56")),"Winnaar 56")</f>
        <v>Maria J10</v>
      </c>
      <c r="I24" s="137"/>
      <c r="J24" s="213">
        <v>2</v>
      </c>
      <c r="K24" s="138">
        <v>1</v>
      </c>
      <c r="L24" s="139" t="s">
        <v>294</v>
      </c>
      <c r="M24" s="140">
        <v>2</v>
      </c>
      <c r="N24" s="203" t="s">
        <v>278</v>
      </c>
      <c r="O24" s="142"/>
      <c r="P24" s="143"/>
      <c r="T24" s="26"/>
      <c r="Y24" s="187"/>
    </row>
    <row r="25" spans="1:25" ht="18.75" customHeight="1" x14ac:dyDescent="0.3">
      <c r="A25" s="219"/>
      <c r="B25" s="104"/>
      <c r="C25" s="104"/>
      <c r="D25" s="104"/>
      <c r="E25" s="202"/>
      <c r="F25" s="201"/>
      <c r="G25" s="110"/>
      <c r="H25" s="202"/>
      <c r="I25" s="107"/>
      <c r="J25" s="104"/>
      <c r="K25" s="104"/>
      <c r="L25" s="110"/>
      <c r="M25" s="110"/>
      <c r="N25" s="113"/>
      <c r="O25" s="113"/>
      <c r="P25" s="113"/>
      <c r="T25" s="26"/>
      <c r="W25" s="26"/>
    </row>
    <row r="26" spans="1:25" ht="18.75" customHeight="1" x14ac:dyDescent="0.3">
      <c r="A26" s="144"/>
      <c r="B26" s="118"/>
      <c r="C26" s="118"/>
      <c r="D26" s="118"/>
      <c r="E26" s="205"/>
      <c r="F26" s="205"/>
      <c r="G26" s="124"/>
      <c r="H26" s="205"/>
      <c r="I26" s="121"/>
      <c r="J26" s="179"/>
      <c r="K26" s="118"/>
      <c r="L26" s="124"/>
      <c r="M26" s="124"/>
      <c r="N26" s="127"/>
      <c r="O26" s="127"/>
      <c r="P26" s="127"/>
      <c r="W26" s="26"/>
    </row>
    <row r="27" spans="1:25" ht="18.75" customHeight="1" x14ac:dyDescent="0.3">
      <c r="A27" s="193" t="s">
        <v>334</v>
      </c>
      <c r="B27" s="133"/>
      <c r="C27" s="193"/>
      <c r="D27" s="193" t="s">
        <v>335</v>
      </c>
      <c r="E27" s="193" t="s">
        <v>369</v>
      </c>
      <c r="F27" s="211"/>
      <c r="G27" s="139"/>
      <c r="H27" s="211"/>
      <c r="I27" s="136"/>
      <c r="J27" s="182"/>
      <c r="K27" s="133"/>
      <c r="L27" s="139"/>
      <c r="M27" s="139"/>
      <c r="N27" s="142"/>
      <c r="O27" s="142"/>
      <c r="P27" s="142"/>
      <c r="V27" s="187"/>
      <c r="W27" s="26"/>
    </row>
    <row r="28" spans="1:25" ht="18.75" customHeight="1" x14ac:dyDescent="0.3">
      <c r="A28" s="91" t="s">
        <v>289</v>
      </c>
      <c r="B28" s="92" t="s">
        <v>290</v>
      </c>
      <c r="C28" s="92"/>
      <c r="D28" s="92"/>
      <c r="E28" s="93" t="s">
        <v>291</v>
      </c>
      <c r="F28" s="94"/>
      <c r="G28" s="94"/>
      <c r="H28" s="94"/>
      <c r="I28" s="95"/>
      <c r="J28" s="196" t="s">
        <v>11</v>
      </c>
      <c r="K28" s="96" t="s">
        <v>292</v>
      </c>
      <c r="L28" s="97"/>
      <c r="M28" s="98"/>
      <c r="N28" s="99" t="s">
        <v>251</v>
      </c>
      <c r="O28" s="94"/>
      <c r="P28" s="95"/>
      <c r="W28" s="26"/>
    </row>
    <row r="29" spans="1:25" ht="18.75" customHeight="1" x14ac:dyDescent="0.3">
      <c r="A29" s="102">
        <v>59</v>
      </c>
      <c r="B29" s="231">
        <v>0.75694444444444442</v>
      </c>
      <c r="C29" s="198" t="s">
        <v>294</v>
      </c>
      <c r="D29" s="241">
        <v>0.76041666666666663</v>
      </c>
      <c r="E29" s="200" t="str">
        <f>IF(AND(Finales2!K23&lt;&gt;"",Finales2!M23&lt;&gt;""),IF(Finales2!K23&gt;Finales2!M23,Finales2!E23,IF(Finales2!K23&lt;Finales2!M23,Finales2!H23,"Winnaar 57")),"Winnaar 57")</f>
        <v>Springwijs J1</v>
      </c>
      <c r="F29" s="201"/>
      <c r="G29" s="110" t="s">
        <v>294</v>
      </c>
      <c r="H29" s="202" t="str">
        <f>IF(AND(Finales2!K24&lt;&gt;"",Finales2!M24&lt;&gt;""),IF(Finales2!K24&gt;Finales2!M24,Finales2!E24,IF(Finales2!K24&lt;Finales2!M24,Finales2!H24,"Winnaar 58")),"Winnaar 58")</f>
        <v>Maria J10</v>
      </c>
      <c r="I29" s="108"/>
      <c r="J29" s="198">
        <v>1</v>
      </c>
      <c r="K29" s="109">
        <v>0</v>
      </c>
      <c r="L29" s="110" t="s">
        <v>294</v>
      </c>
      <c r="M29" s="111">
        <v>1</v>
      </c>
      <c r="N29" s="203" t="s">
        <v>256</v>
      </c>
      <c r="O29" s="113"/>
      <c r="P29" s="114"/>
      <c r="W29" s="26"/>
    </row>
    <row r="30" spans="1:25" ht="18.75" customHeight="1" x14ac:dyDescent="0.3">
      <c r="A30" s="131">
        <v>60</v>
      </c>
      <c r="B30" s="138"/>
      <c r="C30" s="133"/>
      <c r="D30" s="218"/>
      <c r="E30" s="210" t="str">
        <f>IF(AND(Finales2!K23&lt;&gt;"",Finales2!M23&lt;&gt;""),IF(Finales2!K23&lt;Finales2!M23,Finales2!E23,IF(Finales2!K23&gt;Finales2!M23,Finales2!H23,"Verliezer 57")),"Verliezer 57")</f>
        <v>Maria G2</v>
      </c>
      <c r="F30" s="211"/>
      <c r="G30" s="139" t="s">
        <v>294</v>
      </c>
      <c r="H30" s="212" t="str">
        <f>IF(AND(Finales2!K24&lt;&gt;"",Finales2!M24&lt;&gt;""),IF(Finales2!K24&lt;Finales2!M24,Finales2!E24,IF(Finales2!K24&gt;Finales2!M24,Finales2!H24,"Verliezer 58")),"Verliezer 58")</f>
        <v>DSV J1</v>
      </c>
      <c r="I30" s="137"/>
      <c r="J30" s="213">
        <v>2</v>
      </c>
      <c r="K30" s="138">
        <v>0</v>
      </c>
      <c r="L30" s="139" t="s">
        <v>294</v>
      </c>
      <c r="M30" s="140">
        <v>2</v>
      </c>
      <c r="N30" s="203" t="s">
        <v>273</v>
      </c>
      <c r="O30" s="142"/>
      <c r="P30" s="143"/>
      <c r="W30" s="26"/>
    </row>
    <row r="31" spans="1:25" ht="18.75" customHeight="1" x14ac:dyDescent="0.3">
      <c r="A31" s="219"/>
      <c r="B31" s="104"/>
      <c r="C31" s="104"/>
      <c r="D31" s="104"/>
      <c r="E31" s="220"/>
      <c r="F31" s="107"/>
      <c r="G31" s="104"/>
      <c r="H31" s="220"/>
      <c r="I31" s="107"/>
      <c r="J31" s="104"/>
      <c r="K31" s="104"/>
      <c r="L31" s="110"/>
      <c r="M31" s="110"/>
      <c r="N31" s="113"/>
      <c r="O31" s="113"/>
      <c r="P31" s="113"/>
    </row>
    <row r="32" spans="1:25" ht="18.75" customHeight="1" x14ac:dyDescent="0.3">
      <c r="A32" s="221"/>
      <c r="B32" s="118"/>
      <c r="C32" s="118"/>
      <c r="D32" s="118"/>
      <c r="E32" s="222"/>
      <c r="F32" s="121"/>
      <c r="G32" s="118"/>
      <c r="H32" s="222"/>
      <c r="I32" s="121"/>
      <c r="J32" s="118"/>
      <c r="K32" s="242" t="s">
        <v>370</v>
      </c>
      <c r="L32" s="124"/>
      <c r="M32" s="124"/>
      <c r="N32" s="127"/>
      <c r="O32" s="127"/>
      <c r="P32" s="127"/>
    </row>
    <row r="33" spans="1:16" ht="18.75" customHeight="1" x14ac:dyDescent="0.3">
      <c r="A33" s="221"/>
      <c r="B33" s="118"/>
      <c r="C33" s="118"/>
      <c r="D33" s="118"/>
      <c r="E33" s="222"/>
      <c r="F33" s="121"/>
      <c r="G33" s="118"/>
      <c r="H33" s="222"/>
      <c r="I33" s="121"/>
      <c r="J33" s="118"/>
      <c r="K33" s="118"/>
      <c r="L33" s="124"/>
      <c r="M33" s="124"/>
      <c r="N33" s="127"/>
      <c r="O33" s="127"/>
      <c r="P33" s="127"/>
    </row>
    <row r="34" spans="1:16" ht="15" customHeight="1" x14ac:dyDescent="0.35">
      <c r="A34" s="63" t="s">
        <v>340</v>
      </c>
      <c r="B34" s="118"/>
      <c r="C34" s="118"/>
      <c r="D34" s="118"/>
      <c r="E34" s="121"/>
      <c r="F34" s="121"/>
      <c r="G34" s="133"/>
      <c r="H34" s="133"/>
      <c r="I34" s="133"/>
      <c r="J34" s="179"/>
      <c r="K34" s="118"/>
      <c r="L34" s="124"/>
      <c r="M34" s="124"/>
      <c r="N34" s="127"/>
      <c r="O34" s="127"/>
      <c r="P34" s="127"/>
    </row>
    <row r="35" spans="1:16" ht="12.75" customHeight="1" x14ac:dyDescent="0.3">
      <c r="A35" s="226"/>
      <c r="B35" s="118"/>
      <c r="C35" s="118"/>
      <c r="D35" s="118"/>
      <c r="E35" s="121"/>
      <c r="F35" s="121"/>
      <c r="G35" s="118"/>
      <c r="H35" s="118"/>
      <c r="I35" s="118"/>
      <c r="J35" s="179"/>
      <c r="K35" s="118"/>
      <c r="L35" s="124"/>
      <c r="M35" s="124"/>
      <c r="N35" s="127"/>
      <c r="O35" s="127"/>
      <c r="P35" s="127"/>
    </row>
    <row r="36" spans="1:16" ht="15" customHeight="1" x14ac:dyDescent="0.35">
      <c r="A36" s="63" t="s">
        <v>342</v>
      </c>
      <c r="B36" s="118"/>
      <c r="C36" s="118"/>
      <c r="D36" s="118"/>
      <c r="E36" s="121"/>
      <c r="F36" s="121"/>
      <c r="G36" s="133"/>
      <c r="H36" s="133"/>
      <c r="I36" s="133"/>
      <c r="J36" s="179"/>
      <c r="K36" s="118"/>
      <c r="L36" s="124"/>
      <c r="M36" s="124"/>
      <c r="N36" s="127"/>
      <c r="O36" s="127"/>
      <c r="P36" s="127"/>
    </row>
    <row r="37" spans="1:16" ht="12.75" customHeight="1" x14ac:dyDescent="0.3">
      <c r="A37" s="226"/>
      <c r="B37" s="118"/>
      <c r="C37" s="118"/>
      <c r="D37" s="118"/>
      <c r="E37" s="121"/>
      <c r="F37" s="121"/>
      <c r="G37" s="118"/>
      <c r="H37" s="118"/>
      <c r="I37" s="118"/>
      <c r="J37" s="179"/>
      <c r="K37" s="118"/>
      <c r="L37" s="124"/>
      <c r="M37" s="124"/>
      <c r="N37" s="127"/>
      <c r="O37" s="127"/>
      <c r="P37" s="127"/>
    </row>
    <row r="38" spans="1:16" ht="15" customHeight="1" x14ac:dyDescent="0.35">
      <c r="A38" s="63" t="s">
        <v>344</v>
      </c>
      <c r="B38" s="118"/>
      <c r="C38" s="118"/>
      <c r="D38" s="118"/>
      <c r="E38" s="121"/>
      <c r="F38" s="121"/>
      <c r="G38" s="133"/>
      <c r="H38" s="133"/>
      <c r="I38" s="133"/>
      <c r="J38" s="179"/>
      <c r="K38" s="118"/>
      <c r="L38" s="124"/>
      <c r="M38" s="124"/>
      <c r="N38" s="127"/>
      <c r="O38" s="127"/>
      <c r="P38" s="127"/>
    </row>
    <row r="39" spans="1:16" ht="18" customHeight="1" x14ac:dyDescent="0.3">
      <c r="A39" s="226"/>
      <c r="B39" s="118"/>
      <c r="C39" s="118"/>
      <c r="D39" s="118"/>
      <c r="E39" s="121"/>
      <c r="F39" s="121"/>
      <c r="G39" s="118"/>
      <c r="H39" s="118"/>
      <c r="I39" s="118"/>
      <c r="J39" s="179"/>
      <c r="K39" s="118"/>
      <c r="L39" s="124"/>
      <c r="M39" s="124"/>
      <c r="N39" s="127"/>
      <c r="O39" s="127"/>
      <c r="P39" s="127"/>
    </row>
    <row r="40" spans="1:16" ht="15" customHeight="1" x14ac:dyDescent="0.35">
      <c r="A40" s="63" t="s">
        <v>339</v>
      </c>
      <c r="B40" s="118"/>
      <c r="C40" s="118"/>
      <c r="D40" s="118"/>
      <c r="E40" s="121"/>
      <c r="F40" s="121"/>
      <c r="G40" s="133"/>
      <c r="H40" s="133"/>
      <c r="I40" s="133"/>
      <c r="J40" s="179"/>
      <c r="K40" s="118"/>
      <c r="L40" s="124"/>
      <c r="M40" s="124"/>
      <c r="N40" s="127"/>
      <c r="O40" s="127"/>
      <c r="P40" s="127"/>
    </row>
    <row r="41" spans="1:16" ht="12.75" customHeight="1" x14ac:dyDescent="0.3">
      <c r="A41" s="226"/>
      <c r="B41" s="118"/>
      <c r="C41" s="118"/>
      <c r="D41" s="118"/>
      <c r="E41" s="121"/>
      <c r="F41" s="121"/>
      <c r="G41" s="118"/>
      <c r="H41" s="118"/>
      <c r="I41" s="118"/>
      <c r="J41" s="179"/>
      <c r="K41" s="118"/>
      <c r="L41" s="124"/>
      <c r="M41" s="124"/>
      <c r="N41" s="127"/>
      <c r="O41" s="127"/>
      <c r="P41" s="127"/>
    </row>
    <row r="42" spans="1:16" ht="15" customHeight="1" x14ac:dyDescent="0.35">
      <c r="A42" s="63" t="s">
        <v>341</v>
      </c>
      <c r="B42" s="118"/>
      <c r="C42" s="118"/>
      <c r="D42" s="118"/>
      <c r="E42" s="121"/>
      <c r="F42" s="121"/>
      <c r="G42" s="133"/>
      <c r="H42" s="133"/>
      <c r="I42" s="133"/>
      <c r="J42" s="179"/>
      <c r="K42" s="118"/>
      <c r="L42" s="124"/>
      <c r="M42" s="124"/>
      <c r="N42" s="127"/>
      <c r="O42" s="127"/>
      <c r="P42" s="127"/>
    </row>
    <row r="43" spans="1:16" ht="12.75" customHeight="1" x14ac:dyDescent="0.3">
      <c r="A43" s="226"/>
      <c r="B43" s="118"/>
      <c r="C43" s="118"/>
      <c r="D43" s="118"/>
      <c r="E43" s="121"/>
      <c r="F43" s="121"/>
      <c r="G43" s="118"/>
      <c r="H43" s="118"/>
      <c r="I43" s="118"/>
      <c r="J43" s="179"/>
      <c r="K43" s="118"/>
      <c r="L43" s="124"/>
      <c r="M43" s="124"/>
      <c r="N43" s="127"/>
      <c r="O43" s="127"/>
      <c r="P43" s="127"/>
    </row>
    <row r="44" spans="1:16" ht="15" customHeight="1" x14ac:dyDescent="0.35">
      <c r="A44" s="63" t="s">
        <v>343</v>
      </c>
      <c r="B44" s="118"/>
      <c r="C44" s="118"/>
      <c r="D44" s="118"/>
      <c r="E44" s="121"/>
      <c r="F44" s="121"/>
      <c r="G44" s="133"/>
      <c r="H44" s="133"/>
      <c r="I44" s="133"/>
      <c r="J44" s="179"/>
      <c r="K44" s="118"/>
      <c r="L44" s="124"/>
      <c r="M44" s="124"/>
      <c r="N44" s="127"/>
      <c r="O44" s="127"/>
      <c r="P44" s="127"/>
    </row>
    <row r="45" spans="1:16" ht="18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179"/>
      <c r="K45" s="118"/>
      <c r="L45" s="124"/>
      <c r="M45" s="124"/>
      <c r="N45" s="127"/>
      <c r="O45" s="127"/>
      <c r="P45" s="127"/>
    </row>
    <row r="46" spans="1:16" ht="15" customHeight="1" x14ac:dyDescent="0.35">
      <c r="A46" s="63" t="s">
        <v>345</v>
      </c>
      <c r="B46" s="118"/>
      <c r="C46" s="118"/>
      <c r="D46" s="118"/>
      <c r="E46" s="121"/>
      <c r="F46" s="121"/>
      <c r="G46" s="243"/>
      <c r="H46" s="244"/>
      <c r="I46" s="243"/>
      <c r="J46" s="179"/>
      <c r="K46" s="245"/>
      <c r="L46" s="124"/>
      <c r="M46" s="124"/>
      <c r="N46" s="179"/>
      <c r="O46" s="118"/>
      <c r="P46" s="118"/>
    </row>
    <row r="47" spans="1:16" ht="12.75" customHeight="1" x14ac:dyDescent="0.3">
      <c r="A47" s="226"/>
      <c r="B47" s="118"/>
      <c r="C47" s="118"/>
      <c r="D47" s="118"/>
      <c r="E47" s="121"/>
      <c r="F47" s="121"/>
      <c r="G47" s="118"/>
      <c r="H47" s="118"/>
      <c r="I47" s="118"/>
      <c r="J47" s="179"/>
      <c r="K47" s="118"/>
      <c r="L47" s="124"/>
      <c r="M47" s="124"/>
      <c r="N47" s="179"/>
      <c r="O47" s="118"/>
      <c r="P47" s="118"/>
    </row>
    <row r="48" spans="1:16" s="145" customFormat="1" ht="15" customHeight="1" x14ac:dyDescent="0.35">
      <c r="A48" s="63" t="s">
        <v>346</v>
      </c>
      <c r="B48" s="118"/>
      <c r="C48" s="118"/>
      <c r="D48" s="118"/>
      <c r="E48" s="121"/>
      <c r="F48" s="121"/>
      <c r="G48" s="133"/>
      <c r="H48" s="139"/>
      <c r="I48" s="133"/>
      <c r="J48" s="179"/>
      <c r="K48" s="118"/>
      <c r="L48" s="124"/>
      <c r="M48" s="124"/>
      <c r="N48" s="179"/>
      <c r="O48" s="118"/>
      <c r="P48" s="118"/>
    </row>
    <row r="49" spans="1:16" ht="12.75" customHeight="1" x14ac:dyDescent="0.3">
      <c r="A49" s="226"/>
      <c r="B49" s="118"/>
      <c r="C49" s="118"/>
      <c r="D49" s="118"/>
      <c r="E49" s="121"/>
      <c r="F49" s="121"/>
      <c r="G49" s="118"/>
      <c r="H49" s="118"/>
      <c r="I49" s="118"/>
      <c r="J49" s="179"/>
      <c r="K49" s="118"/>
      <c r="L49" s="124"/>
      <c r="M49" s="124"/>
      <c r="N49" s="127"/>
      <c r="O49" s="127"/>
      <c r="P49" s="127"/>
    </row>
    <row r="50" spans="1:16" ht="15" customHeight="1" x14ac:dyDescent="0.35">
      <c r="A50" s="63" t="s">
        <v>347</v>
      </c>
      <c r="B50" s="118"/>
      <c r="C50" s="118"/>
      <c r="D50" s="118"/>
      <c r="E50" s="121"/>
      <c r="F50" s="121"/>
      <c r="G50" s="133"/>
      <c r="H50" s="133"/>
      <c r="I50" s="133"/>
      <c r="J50" s="179"/>
      <c r="K50" s="118"/>
      <c r="L50" s="124"/>
      <c r="M50" s="124"/>
      <c r="N50" s="127"/>
      <c r="O50" s="127"/>
      <c r="P50" s="127"/>
    </row>
    <row r="51" spans="1:16" ht="18.75" customHeight="1" x14ac:dyDescent="0.3">
      <c r="A51" s="227"/>
      <c r="B51" s="227"/>
      <c r="C51" s="227"/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</row>
    <row r="52" spans="1:16" ht="18.75" customHeight="1" x14ac:dyDescent="0.3">
      <c r="A52" s="227"/>
      <c r="B52" s="227"/>
      <c r="C52" s="227"/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</row>
    <row r="53" spans="1:16" ht="18.75" customHeight="1" x14ac:dyDescent="0.3">
      <c r="A53" s="227"/>
      <c r="B53" s="227"/>
      <c r="C53" s="227"/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</sheetData>
  <mergeCells count="9">
    <mergeCell ref="B28:D28"/>
    <mergeCell ref="K28:M28"/>
    <mergeCell ref="A8:D8"/>
    <mergeCell ref="E8:N8"/>
    <mergeCell ref="O8:P8"/>
    <mergeCell ref="B14:D14"/>
    <mergeCell ref="K14:M14"/>
    <mergeCell ref="B22:D22"/>
    <mergeCell ref="K22:M22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60</vt:i4>
      </vt:variant>
    </vt:vector>
  </HeadingPairs>
  <TitlesOfParts>
    <vt:vector size="93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</vt:lpstr>
      <vt:lpstr>Finales1</vt:lpstr>
      <vt:lpstr>Finales2</vt:lpstr>
      <vt:lpstr>Finales!Print_Area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Finales!Print_Titles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Sander Tetteroo | vv SEP</dc:creator>
  <cp:lastModifiedBy>Sander Tetteroo | vv SEP</cp:lastModifiedBy>
  <cp:lastPrinted>2026-04-15T14:35:37Z</cp:lastPrinted>
  <dcterms:created xsi:type="dcterms:W3CDTF">2026-04-15T14:35:15Z</dcterms:created>
  <dcterms:modified xsi:type="dcterms:W3CDTF">2026-04-15T14:35:39Z</dcterms:modified>
</cp:coreProperties>
</file>