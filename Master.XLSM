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81201B8D-1473-439C-9B94-66ECF2F6A794}" xr6:coauthVersionLast="47" xr6:coauthVersionMax="47" xr10:uidLastSave="{00000000-0000-0000-0000-000000000000}"/>
  <bookViews>
    <workbookView xWindow="-108" yWindow="-108" windowWidth="23256" windowHeight="12456" xr2:uid="{EE18F366-E032-4932-BD40-7B7653F90A5B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O47" i="30" s="1" a="1"/>
  <c r="O47" i="30" s="1"/>
  <c r="A47" i="30"/>
  <c r="W46" i="30"/>
  <c r="V46" i="30"/>
  <c r="U46" i="30"/>
  <c r="N46" i="30"/>
  <c r="M46" i="30"/>
  <c r="K46" i="30"/>
  <c r="I46" i="30"/>
  <c r="H46" i="30"/>
  <c r="F46" i="30"/>
  <c r="E46" i="30"/>
  <c r="A46" i="30"/>
  <c r="E36" i="30" s="1"/>
  <c r="W45" i="30"/>
  <c r="V45" i="30"/>
  <c r="U45" i="30"/>
  <c r="O45" i="30" a="1"/>
  <c r="O45" i="30" s="1"/>
  <c r="N45" i="30"/>
  <c r="M45" i="30"/>
  <c r="K45" i="30"/>
  <c r="I45" i="30"/>
  <c r="H45" i="30"/>
  <c r="F45" i="30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W43" i="30"/>
  <c r="V43" i="30"/>
  <c r="U43" i="30"/>
  <c r="N43" i="30"/>
  <c r="M43" i="30"/>
  <c r="K43" i="30"/>
  <c r="I43" i="30"/>
  <c r="H43" i="30"/>
  <c r="F43" i="30"/>
  <c r="E43" i="30"/>
  <c r="A43" i="30"/>
  <c r="E27" i="30" s="1"/>
  <c r="W42" i="30"/>
  <c r="V42" i="30"/>
  <c r="U42" i="30"/>
  <c r="N42" i="30"/>
  <c r="M42" i="30"/>
  <c r="K42" i="30"/>
  <c r="I42" i="30"/>
  <c r="H42" i="30"/>
  <c r="F42" i="30"/>
  <c r="E42" i="30"/>
  <c r="A42" i="30"/>
  <c r="H19" i="30" s="1"/>
  <c r="W41" i="30"/>
  <c r="V41" i="30"/>
  <c r="U41" i="30"/>
  <c r="N41" i="30"/>
  <c r="M41" i="30"/>
  <c r="O41" i="30" s="1" a="1"/>
  <c r="O41" i="30" s="1"/>
  <c r="K41" i="30"/>
  <c r="I41" i="30"/>
  <c r="H41" i="30"/>
  <c r="F41" i="30"/>
  <c r="E41" i="30"/>
  <c r="A41" i="30"/>
  <c r="M38" i="30"/>
  <c r="H38" i="30"/>
  <c r="E38" i="30"/>
  <c r="M37" i="30"/>
  <c r="M36" i="30"/>
  <c r="M34" i="30"/>
  <c r="M33" i="30"/>
  <c r="H33" i="30"/>
  <c r="E33" i="30"/>
  <c r="M32" i="30"/>
  <c r="H32" i="30"/>
  <c r="E32" i="30"/>
  <c r="M30" i="30"/>
  <c r="E30" i="30"/>
  <c r="M29" i="30"/>
  <c r="E29" i="30"/>
  <c r="M27" i="30"/>
  <c r="M25" i="30"/>
  <c r="H25" i="30"/>
  <c r="E25" i="30"/>
  <c r="M24" i="30"/>
  <c r="H24" i="30"/>
  <c r="M23" i="30"/>
  <c r="M21" i="30"/>
  <c r="H21" i="30"/>
  <c r="M20" i="30"/>
  <c r="M19" i="30"/>
  <c r="E19" i="30"/>
  <c r="M17" i="30"/>
  <c r="H17" i="30"/>
  <c r="E17" i="30"/>
  <c r="M16" i="30"/>
  <c r="E16" i="30"/>
  <c r="M15" i="30"/>
  <c r="H15" i="30"/>
  <c r="E15" i="30"/>
  <c r="M13" i="30"/>
  <c r="H13" i="30"/>
  <c r="M12" i="30"/>
  <c r="H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S46" i="29" s="1"/>
  <c r="H46" i="29"/>
  <c r="F46" i="29"/>
  <c r="E46" i="29"/>
  <c r="A46" i="29"/>
  <c r="E36" i="29" s="1"/>
  <c r="W45" i="29"/>
  <c r="V45" i="29"/>
  <c r="U45" i="29"/>
  <c r="O45" i="29" a="1"/>
  <c r="O45" i="29" s="1"/>
  <c r="N45" i="29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E16" i="29" s="1"/>
  <c r="W43" i="29"/>
  <c r="V43" i="29"/>
  <c r="U43" i="29"/>
  <c r="N43" i="29"/>
  <c r="M43" i="29"/>
  <c r="K43" i="29"/>
  <c r="I43" i="29"/>
  <c r="H43" i="29"/>
  <c r="F43" i="29"/>
  <c r="E43" i="29"/>
  <c r="A43" i="29"/>
  <c r="E27" i="29" s="1"/>
  <c r="W42" i="29"/>
  <c r="V42" i="29"/>
  <c r="U42" i="29"/>
  <c r="N42" i="29"/>
  <c r="M42" i="29"/>
  <c r="K42" i="29"/>
  <c r="I42" i="29"/>
  <c r="H42" i="29"/>
  <c r="F42" i="29"/>
  <c r="E42" i="29"/>
  <c r="T42" i="29" s="1"/>
  <c r="A42" i="29"/>
  <c r="H19" i="29" s="1"/>
  <c r="W41" i="29"/>
  <c r="V41" i="29"/>
  <c r="U41" i="29"/>
  <c r="N41" i="29"/>
  <c r="M41" i="29"/>
  <c r="K41" i="29"/>
  <c r="I41" i="29"/>
  <c r="H41" i="29"/>
  <c r="F41" i="29"/>
  <c r="O41" i="29" s="1" a="1"/>
  <c r="O41" i="29" s="1"/>
  <c r="E41" i="29"/>
  <c r="A41" i="29"/>
  <c r="H29" i="29" s="1"/>
  <c r="M38" i="29"/>
  <c r="H38" i="29"/>
  <c r="E38" i="29"/>
  <c r="M37" i="29"/>
  <c r="M36" i="29"/>
  <c r="M34" i="29"/>
  <c r="M33" i="29"/>
  <c r="H33" i="29"/>
  <c r="E33" i="29"/>
  <c r="M32" i="29"/>
  <c r="H32" i="29"/>
  <c r="E32" i="29"/>
  <c r="M30" i="29"/>
  <c r="E30" i="29"/>
  <c r="M29" i="29"/>
  <c r="E29" i="29"/>
  <c r="M27" i="29"/>
  <c r="M25" i="29"/>
  <c r="H25" i="29"/>
  <c r="E25" i="29"/>
  <c r="M24" i="29"/>
  <c r="H24" i="29"/>
  <c r="M23" i="29"/>
  <c r="M21" i="29"/>
  <c r="H21" i="29"/>
  <c r="M20" i="29"/>
  <c r="E20" i="29"/>
  <c r="M19" i="29"/>
  <c r="E19" i="29"/>
  <c r="M17" i="29"/>
  <c r="H17" i="29"/>
  <c r="E17" i="29"/>
  <c r="M16" i="29"/>
  <c r="M15" i="29"/>
  <c r="H15" i="29"/>
  <c r="E15" i="29"/>
  <c r="M13" i="29"/>
  <c r="H13" i="29"/>
  <c r="M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Q47" i="28" s="1"/>
  <c r="E47" i="28"/>
  <c r="A47" i="28"/>
  <c r="W46" i="28"/>
  <c r="V46" i="28"/>
  <c r="U46" i="28"/>
  <c r="N46" i="28"/>
  <c r="M46" i="28"/>
  <c r="K46" i="28"/>
  <c r="I46" i="28"/>
  <c r="H46" i="28"/>
  <c r="F46" i="28"/>
  <c r="E46" i="28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W43" i="28"/>
  <c r="V43" i="28"/>
  <c r="U43" i="28"/>
  <c r="N43" i="28"/>
  <c r="M43" i="28"/>
  <c r="K43" i="28"/>
  <c r="I43" i="28"/>
  <c r="H43" i="28"/>
  <c r="F43" i="28"/>
  <c r="E43" i="28"/>
  <c r="A43" i="28"/>
  <c r="E32" i="28" s="1"/>
  <c r="W42" i="28"/>
  <c r="V42" i="28"/>
  <c r="U42" i="28"/>
  <c r="N42" i="28"/>
  <c r="M42" i="28"/>
  <c r="K42" i="28"/>
  <c r="I42" i="28"/>
  <c r="H42" i="28"/>
  <c r="F42" i="28"/>
  <c r="S42" i="28" s="1"/>
  <c r="E42" i="28"/>
  <c r="A42" i="28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H38" i="28"/>
  <c r="M37" i="28"/>
  <c r="M36" i="28"/>
  <c r="M34" i="28"/>
  <c r="M33" i="28"/>
  <c r="H33" i="28"/>
  <c r="M32" i="28"/>
  <c r="M30" i="28"/>
  <c r="M29" i="28"/>
  <c r="E29" i="28"/>
  <c r="M27" i="28"/>
  <c r="M25" i="28"/>
  <c r="H25" i="28"/>
  <c r="M24" i="28"/>
  <c r="H24" i="28"/>
  <c r="M23" i="28"/>
  <c r="M21" i="28"/>
  <c r="M20" i="28"/>
  <c r="M19" i="28"/>
  <c r="E19" i="28"/>
  <c r="M17" i="28"/>
  <c r="E17" i="28"/>
  <c r="M16" i="28"/>
  <c r="E16" i="28"/>
  <c r="M15" i="28"/>
  <c r="E15" i="28"/>
  <c r="M13" i="28"/>
  <c r="H13" i="28"/>
  <c r="M12" i="28"/>
  <c r="H12" i="28"/>
  <c r="M11" i="28"/>
  <c r="N8" i="28"/>
  <c r="K8" i="28"/>
  <c r="I8" i="28"/>
  <c r="E8" i="28"/>
  <c r="A8" i="28"/>
  <c r="W48" i="27"/>
  <c r="V48" i="27"/>
  <c r="U48" i="27"/>
  <c r="N48" i="27"/>
  <c r="M48" i="27"/>
  <c r="S48" i="27" s="1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R47" i="27" s="1"/>
  <c r="A47" i="27"/>
  <c r="W46" i="27"/>
  <c r="V46" i="27"/>
  <c r="U46" i="27"/>
  <c r="N46" i="27"/>
  <c r="M46" i="27"/>
  <c r="K46" i="27"/>
  <c r="O46" i="27" s="1" a="1"/>
  <c r="O46" i="27" s="1"/>
  <c r="I46" i="27"/>
  <c r="H46" i="27"/>
  <c r="F46" i="27"/>
  <c r="E46" i="27"/>
  <c r="A46" i="27"/>
  <c r="E36" i="27" s="1"/>
  <c r="W45" i="27"/>
  <c r="V45" i="27"/>
  <c r="U45" i="27"/>
  <c r="N45" i="27"/>
  <c r="M45" i="27"/>
  <c r="K45" i="27"/>
  <c r="I45" i="27"/>
  <c r="H45" i="27"/>
  <c r="F45" i="27"/>
  <c r="Q45" i="27" s="1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K43" i="27"/>
  <c r="I43" i="27"/>
  <c r="H43" i="27"/>
  <c r="F43" i="27"/>
  <c r="E43" i="27"/>
  <c r="A43" i="27"/>
  <c r="W42" i="27"/>
  <c r="V42" i="27"/>
  <c r="U42" i="27"/>
  <c r="N42" i="27"/>
  <c r="M42" i="27"/>
  <c r="K42" i="27"/>
  <c r="I42" i="27"/>
  <c r="H42" i="27"/>
  <c r="F42" i="27"/>
  <c r="E42" i="27"/>
  <c r="T42" i="27" s="1"/>
  <c r="A42" i="27"/>
  <c r="H19" i="27" s="1"/>
  <c r="W41" i="27"/>
  <c r="V41" i="27"/>
  <c r="U41" i="27"/>
  <c r="N41" i="27"/>
  <c r="M41" i="27"/>
  <c r="K41" i="27"/>
  <c r="O41" i="27" s="1" a="1"/>
  <c r="O41" i="27" s="1"/>
  <c r="I41" i="27"/>
  <c r="H41" i="27"/>
  <c r="F41" i="27"/>
  <c r="E41" i="27"/>
  <c r="A41" i="27"/>
  <c r="H36" i="27" s="1"/>
  <c r="M38" i="27"/>
  <c r="H38" i="27"/>
  <c r="E38" i="27"/>
  <c r="M37" i="27"/>
  <c r="M36" i="27"/>
  <c r="M34" i="27"/>
  <c r="M33" i="27"/>
  <c r="H33" i="27"/>
  <c r="M32" i="27"/>
  <c r="H32" i="27"/>
  <c r="E32" i="27"/>
  <c r="M30" i="27"/>
  <c r="E30" i="27"/>
  <c r="M29" i="27"/>
  <c r="E29" i="27"/>
  <c r="M27" i="27"/>
  <c r="M25" i="27"/>
  <c r="H25" i="27"/>
  <c r="E25" i="27"/>
  <c r="M24" i="27"/>
  <c r="H24" i="27"/>
  <c r="M23" i="27"/>
  <c r="M21" i="27"/>
  <c r="H21" i="27"/>
  <c r="M20" i="27"/>
  <c r="M19" i="27"/>
  <c r="E19" i="27"/>
  <c r="M17" i="27"/>
  <c r="H17" i="27"/>
  <c r="E17" i="27"/>
  <c r="M16" i="27"/>
  <c r="E16" i="27"/>
  <c r="M15" i="27"/>
  <c r="E15" i="27"/>
  <c r="M13" i="27"/>
  <c r="H13" i="27"/>
  <c r="M12" i="27"/>
  <c r="H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A47" i="26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S44" i="26" s="1"/>
  <c r="A44" i="26"/>
  <c r="E16" i="26" s="1"/>
  <c r="W43" i="26"/>
  <c r="V43" i="26"/>
  <c r="U43" i="26"/>
  <c r="N43" i="26"/>
  <c r="M43" i="26"/>
  <c r="K43" i="26"/>
  <c r="I43" i="26"/>
  <c r="S43" i="26" s="1"/>
  <c r="H43" i="26"/>
  <c r="F43" i="26"/>
  <c r="E43" i="26"/>
  <c r="A43" i="26"/>
  <c r="E27" i="26" s="1"/>
  <c r="W42" i="26"/>
  <c r="V42" i="26"/>
  <c r="U42" i="26"/>
  <c r="O42" i="26" a="1"/>
  <c r="O42" i="26" s="1"/>
  <c r="N42" i="26"/>
  <c r="M42" i="26"/>
  <c r="K42" i="26"/>
  <c r="I42" i="26"/>
  <c r="H42" i="26"/>
  <c r="F42" i="26"/>
  <c r="E42" i="26"/>
  <c r="A42" i="26"/>
  <c r="W41" i="26"/>
  <c r="V41" i="26"/>
  <c r="U41" i="26"/>
  <c r="N41" i="26"/>
  <c r="M41" i="26"/>
  <c r="K41" i="26"/>
  <c r="I41" i="26"/>
  <c r="H41" i="26"/>
  <c r="F41" i="26"/>
  <c r="E41" i="26"/>
  <c r="A41" i="26"/>
  <c r="E34" i="26" s="1"/>
  <c r="M38" i="26"/>
  <c r="H38" i="26"/>
  <c r="M37" i="26"/>
  <c r="E37" i="26"/>
  <c r="M36" i="26"/>
  <c r="H36" i="26"/>
  <c r="M34" i="26"/>
  <c r="M33" i="26"/>
  <c r="H33" i="26"/>
  <c r="M32" i="26"/>
  <c r="E32" i="26"/>
  <c r="M30" i="26"/>
  <c r="M29" i="26"/>
  <c r="E29" i="26"/>
  <c r="M27" i="26"/>
  <c r="M25" i="26"/>
  <c r="M24" i="26"/>
  <c r="H24" i="26"/>
  <c r="M23" i="26"/>
  <c r="M21" i="26"/>
  <c r="M20" i="26"/>
  <c r="E20" i="26"/>
  <c r="M19" i="26"/>
  <c r="E19" i="26"/>
  <c r="M17" i="26"/>
  <c r="M16" i="26"/>
  <c r="M15" i="26"/>
  <c r="H15" i="26"/>
  <c r="M13" i="26"/>
  <c r="M12" i="26"/>
  <c r="E12" i="26"/>
  <c r="M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R47" i="25" s="1"/>
  <c r="A47" i="25"/>
  <c r="W46" i="25"/>
  <c r="V46" i="25"/>
  <c r="U46" i="25"/>
  <c r="N46" i="25"/>
  <c r="M46" i="25"/>
  <c r="K46" i="25"/>
  <c r="I46" i="25"/>
  <c r="S46" i="25" s="1"/>
  <c r="H46" i="25"/>
  <c r="F46" i="25"/>
  <c r="E46" i="25"/>
  <c r="A46" i="25"/>
  <c r="E36" i="25" s="1"/>
  <c r="W45" i="25"/>
  <c r="V45" i="25"/>
  <c r="U45" i="25"/>
  <c r="O45" i="25" a="1"/>
  <c r="O45" i="25" s="1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I43" i="25"/>
  <c r="H43" i="25"/>
  <c r="F43" i="25"/>
  <c r="E43" i="25"/>
  <c r="A43" i="25"/>
  <c r="H15" i="25" s="1"/>
  <c r="W42" i="25"/>
  <c r="V42" i="25"/>
  <c r="U42" i="25"/>
  <c r="N42" i="25"/>
  <c r="M42" i="25"/>
  <c r="K42" i="25"/>
  <c r="I42" i="25"/>
  <c r="H42" i="25"/>
  <c r="F42" i="25"/>
  <c r="E42" i="25"/>
  <c r="T42" i="25" s="1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H29" i="25" s="1"/>
  <c r="M38" i="25"/>
  <c r="H38" i="25"/>
  <c r="E38" i="25"/>
  <c r="M37" i="25"/>
  <c r="M36" i="25"/>
  <c r="M34" i="25"/>
  <c r="M33" i="25"/>
  <c r="H33" i="25"/>
  <c r="E33" i="25"/>
  <c r="M32" i="25"/>
  <c r="H32" i="25"/>
  <c r="E32" i="25"/>
  <c r="M30" i="25"/>
  <c r="E30" i="25"/>
  <c r="M29" i="25"/>
  <c r="M27" i="25"/>
  <c r="E27" i="25"/>
  <c r="M25" i="25"/>
  <c r="H25" i="25"/>
  <c r="E25" i="25"/>
  <c r="M24" i="25"/>
  <c r="M23" i="25"/>
  <c r="H23" i="25"/>
  <c r="M21" i="25"/>
  <c r="H21" i="25"/>
  <c r="M20" i="25"/>
  <c r="E20" i="25"/>
  <c r="M19" i="25"/>
  <c r="M17" i="25"/>
  <c r="H17" i="25"/>
  <c r="E17" i="25"/>
  <c r="M16" i="25"/>
  <c r="M15" i="25"/>
  <c r="E15" i="25"/>
  <c r="M13" i="25"/>
  <c r="H13" i="25"/>
  <c r="M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R47" i="24" s="1"/>
  <c r="E47" i="24"/>
  <c r="A47" i="24"/>
  <c r="H25" i="24" s="1"/>
  <c r="W46" i="24"/>
  <c r="V46" i="24"/>
  <c r="U46" i="24"/>
  <c r="N46" i="24"/>
  <c r="M46" i="24"/>
  <c r="K46" i="24"/>
  <c r="I46" i="24"/>
  <c r="H46" i="24"/>
  <c r="F46" i="24"/>
  <c r="E46" i="24"/>
  <c r="O46" i="24" s="1" a="1"/>
  <c r="O46" i="24" s="1"/>
  <c r="X46" i="24" s="1"/>
  <c r="A46" i="24"/>
  <c r="E36" i="24" s="1"/>
  <c r="W45" i="24"/>
  <c r="V45" i="24"/>
  <c r="U45" i="24"/>
  <c r="N45" i="24"/>
  <c r="M45" i="24"/>
  <c r="K45" i="24"/>
  <c r="I45" i="24"/>
  <c r="H45" i="24"/>
  <c r="F45" i="24"/>
  <c r="E45" i="24"/>
  <c r="T45" i="24" s="1"/>
  <c r="A45" i="24"/>
  <c r="H20" i="24" s="1"/>
  <c r="W44" i="24"/>
  <c r="V44" i="24"/>
  <c r="U44" i="24"/>
  <c r="N44" i="24"/>
  <c r="M44" i="24"/>
  <c r="K44" i="24"/>
  <c r="I44" i="24"/>
  <c r="S44" i="24" s="1"/>
  <c r="H44" i="24"/>
  <c r="F44" i="24"/>
  <c r="E44" i="24"/>
  <c r="A44" i="24"/>
  <c r="E16" i="24" s="1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N42" i="24"/>
  <c r="M42" i="24"/>
  <c r="K42" i="24"/>
  <c r="I42" i="24"/>
  <c r="H42" i="24"/>
  <c r="F42" i="24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H38" i="24"/>
  <c r="M37" i="24"/>
  <c r="E37" i="24"/>
  <c r="M36" i="24"/>
  <c r="M34" i="24"/>
  <c r="M33" i="24"/>
  <c r="H33" i="24"/>
  <c r="M32" i="24"/>
  <c r="M30" i="24"/>
  <c r="M29" i="24"/>
  <c r="E29" i="24"/>
  <c r="M27" i="24"/>
  <c r="M25" i="24"/>
  <c r="M24" i="24"/>
  <c r="H24" i="24"/>
  <c r="M23" i="24"/>
  <c r="M21" i="24"/>
  <c r="M20" i="24"/>
  <c r="E20" i="24"/>
  <c r="M19" i="24"/>
  <c r="E19" i="24"/>
  <c r="M17" i="24"/>
  <c r="M16" i="24"/>
  <c r="M15" i="24"/>
  <c r="E15" i="24"/>
  <c r="M13" i="24"/>
  <c r="M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H17" i="23" s="1"/>
  <c r="W46" i="23"/>
  <c r="V46" i="23"/>
  <c r="U46" i="23"/>
  <c r="N46" i="23"/>
  <c r="M46" i="23"/>
  <c r="K46" i="23"/>
  <c r="I46" i="23"/>
  <c r="H46" i="23"/>
  <c r="F46" i="23"/>
  <c r="E46" i="23"/>
  <c r="A46" i="23"/>
  <c r="W45" i="23"/>
  <c r="V45" i="23"/>
  <c r="U45" i="23"/>
  <c r="N45" i="23"/>
  <c r="M45" i="23"/>
  <c r="K45" i="23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A44" i="23"/>
  <c r="W43" i="23"/>
  <c r="V43" i="23"/>
  <c r="U43" i="23"/>
  <c r="N43" i="23"/>
  <c r="M43" i="23"/>
  <c r="K43" i="23"/>
  <c r="I43" i="23"/>
  <c r="T43" i="23" s="1"/>
  <c r="H43" i="23"/>
  <c r="F43" i="23"/>
  <c r="E43" i="23"/>
  <c r="A43" i="23"/>
  <c r="W42" i="23"/>
  <c r="V42" i="23"/>
  <c r="U42" i="23"/>
  <c r="N42" i="23"/>
  <c r="M42" i="23"/>
  <c r="K42" i="23"/>
  <c r="I42" i="23"/>
  <c r="H42" i="23"/>
  <c r="F42" i="23"/>
  <c r="E42" i="23"/>
  <c r="A42" i="23"/>
  <c r="H19" i="23" s="1"/>
  <c r="W41" i="23"/>
  <c r="V41" i="23"/>
  <c r="U41" i="23"/>
  <c r="N41" i="23"/>
  <c r="M41" i="23"/>
  <c r="K41" i="23"/>
  <c r="I41" i="23"/>
  <c r="H41" i="23"/>
  <c r="F41" i="23"/>
  <c r="E41" i="23"/>
  <c r="A41" i="23"/>
  <c r="H29" i="23" s="1"/>
  <c r="M38" i="23"/>
  <c r="H38" i="23"/>
  <c r="M37" i="23"/>
  <c r="M36" i="23"/>
  <c r="M34" i="23"/>
  <c r="M33" i="23"/>
  <c r="M32" i="23"/>
  <c r="E32" i="23"/>
  <c r="M30" i="23"/>
  <c r="M29" i="23"/>
  <c r="E29" i="23"/>
  <c r="M27" i="23"/>
  <c r="E27" i="23"/>
  <c r="M25" i="23"/>
  <c r="H25" i="23"/>
  <c r="E25" i="23"/>
  <c r="M24" i="23"/>
  <c r="H24" i="23"/>
  <c r="M23" i="23"/>
  <c r="H23" i="23"/>
  <c r="M21" i="23"/>
  <c r="M20" i="23"/>
  <c r="E20" i="23"/>
  <c r="M19" i="23"/>
  <c r="E19" i="23"/>
  <c r="M17" i="23"/>
  <c r="M16" i="23"/>
  <c r="E16" i="23"/>
  <c r="M15" i="23"/>
  <c r="H15" i="23"/>
  <c r="E15" i="23"/>
  <c r="M13" i="23"/>
  <c r="M12" i="23"/>
  <c r="H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S47" i="22" s="1"/>
  <c r="E47" i="22"/>
  <c r="A47" i="22"/>
  <c r="W46" i="22"/>
  <c r="V46" i="22"/>
  <c r="U46" i="22"/>
  <c r="N46" i="22"/>
  <c r="M46" i="22"/>
  <c r="K46" i="22"/>
  <c r="I46" i="22"/>
  <c r="H46" i="22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Q45" i="22" s="1"/>
  <c r="E45" i="22"/>
  <c r="O45" i="22" s="1" a="1"/>
  <c r="O45" i="22" s="1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H38" i="22" s="1"/>
  <c r="W43" i="22"/>
  <c r="V43" i="22"/>
  <c r="U43" i="22"/>
  <c r="N43" i="22"/>
  <c r="M43" i="22"/>
  <c r="K43" i="22"/>
  <c r="I43" i="22"/>
  <c r="H43" i="22"/>
  <c r="F43" i="22"/>
  <c r="Q43" i="22" s="1"/>
  <c r="E43" i="22"/>
  <c r="A43" i="22"/>
  <c r="W42" i="22"/>
  <c r="V42" i="22"/>
  <c r="U42" i="22"/>
  <c r="N42" i="22"/>
  <c r="M42" i="22"/>
  <c r="K42" i="22"/>
  <c r="I42" i="22"/>
  <c r="H42" i="22"/>
  <c r="F42" i="22"/>
  <c r="E42" i="22"/>
  <c r="A42" i="22"/>
  <c r="H37" i="22" s="1"/>
  <c r="W41" i="22"/>
  <c r="V41" i="22"/>
  <c r="U41" i="22"/>
  <c r="N41" i="22"/>
  <c r="M41" i="22"/>
  <c r="K41" i="22"/>
  <c r="I41" i="22"/>
  <c r="H41" i="22"/>
  <c r="F41" i="22"/>
  <c r="E41" i="22"/>
  <c r="A41" i="22"/>
  <c r="H36" i="22" s="1"/>
  <c r="M38" i="22"/>
  <c r="E38" i="22"/>
  <c r="M37" i="22"/>
  <c r="M36" i="22"/>
  <c r="M34" i="22"/>
  <c r="M33" i="22"/>
  <c r="H33" i="22"/>
  <c r="M32" i="22"/>
  <c r="H32" i="22"/>
  <c r="M30" i="22"/>
  <c r="E30" i="22"/>
  <c r="M29" i="22"/>
  <c r="E29" i="22"/>
  <c r="M27" i="22"/>
  <c r="H27" i="22"/>
  <c r="M25" i="22"/>
  <c r="H25" i="22"/>
  <c r="E25" i="22"/>
  <c r="M24" i="22"/>
  <c r="H24" i="22"/>
  <c r="E24" i="22"/>
  <c r="M23" i="22"/>
  <c r="M21" i="22"/>
  <c r="H21" i="22"/>
  <c r="M20" i="22"/>
  <c r="M19" i="22"/>
  <c r="H19" i="22"/>
  <c r="E19" i="22"/>
  <c r="M17" i="22"/>
  <c r="H17" i="22"/>
  <c r="E17" i="22"/>
  <c r="M16" i="22"/>
  <c r="M15" i="22"/>
  <c r="E15" i="22"/>
  <c r="M13" i="22"/>
  <c r="H13" i="22"/>
  <c r="M12" i="22"/>
  <c r="H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T48" i="21" s="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H21" i="21" s="1"/>
  <c r="W46" i="21"/>
  <c r="V46" i="21"/>
  <c r="U46" i="21"/>
  <c r="N46" i="21"/>
  <c r="M46" i="21"/>
  <c r="K46" i="21"/>
  <c r="I46" i="21"/>
  <c r="H46" i="21"/>
  <c r="F46" i="21"/>
  <c r="E46" i="21"/>
  <c r="A46" i="21"/>
  <c r="W45" i="21"/>
  <c r="V45" i="21"/>
  <c r="U45" i="21"/>
  <c r="N45" i="21"/>
  <c r="M45" i="21"/>
  <c r="K45" i="21"/>
  <c r="I45" i="21"/>
  <c r="H45" i="2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Q43" i="21" s="1"/>
  <c r="E43" i="21"/>
  <c r="A43" i="21"/>
  <c r="E27" i="21" s="1"/>
  <c r="W42" i="21"/>
  <c r="V42" i="21"/>
  <c r="U42" i="21"/>
  <c r="N42" i="21"/>
  <c r="M42" i="21"/>
  <c r="K42" i="21"/>
  <c r="I42" i="21"/>
  <c r="H42" i="21"/>
  <c r="F42" i="21"/>
  <c r="E42" i="21"/>
  <c r="A42" i="21"/>
  <c r="H19" i="21" s="1"/>
  <c r="W41" i="21"/>
  <c r="V41" i="21"/>
  <c r="U41" i="21"/>
  <c r="N41" i="21"/>
  <c r="M41" i="21"/>
  <c r="K41" i="21"/>
  <c r="I41" i="21"/>
  <c r="H41" i="21"/>
  <c r="F41" i="21"/>
  <c r="E41" i="21"/>
  <c r="A41" i="21"/>
  <c r="H36" i="21" s="1"/>
  <c r="M38" i="21"/>
  <c r="H38" i="21"/>
  <c r="M37" i="21"/>
  <c r="M36" i="21"/>
  <c r="M34" i="21"/>
  <c r="M33" i="21"/>
  <c r="M32" i="21"/>
  <c r="E32" i="21"/>
  <c r="M30" i="21"/>
  <c r="E30" i="21"/>
  <c r="M29" i="21"/>
  <c r="E29" i="21"/>
  <c r="M27" i="21"/>
  <c r="M25" i="21"/>
  <c r="M24" i="21"/>
  <c r="H24" i="21"/>
  <c r="M23" i="21"/>
  <c r="H23" i="21"/>
  <c r="M21" i="21"/>
  <c r="M20" i="21"/>
  <c r="E20" i="21"/>
  <c r="M19" i="21"/>
  <c r="E19" i="21"/>
  <c r="M17" i="21"/>
  <c r="H17" i="21"/>
  <c r="M16" i="21"/>
  <c r="E16" i="21"/>
  <c r="M15" i="21"/>
  <c r="H15" i="21"/>
  <c r="E15" i="21"/>
  <c r="M13" i="21"/>
  <c r="M12" i="21"/>
  <c r="H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E36" i="20" s="1"/>
  <c r="W45" i="20"/>
  <c r="V45" i="20"/>
  <c r="U45" i="20"/>
  <c r="N45" i="20"/>
  <c r="M45" i="20"/>
  <c r="O45" i="20" s="1" a="1"/>
  <c r="O45" i="20" s="1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H24" i="20" s="1"/>
  <c r="W43" i="20"/>
  <c r="V43" i="20"/>
  <c r="U43" i="20"/>
  <c r="N43" i="20"/>
  <c r="M43" i="20"/>
  <c r="K43" i="20"/>
  <c r="I43" i="20"/>
  <c r="S43" i="20" s="1"/>
  <c r="H43" i="20"/>
  <c r="F43" i="20"/>
  <c r="E43" i="20"/>
  <c r="A43" i="20"/>
  <c r="W42" i="20"/>
  <c r="V42" i="20"/>
  <c r="U42" i="20"/>
  <c r="N42" i="20"/>
  <c r="M42" i="20"/>
  <c r="K42" i="20"/>
  <c r="I42" i="20"/>
  <c r="H42" i="20"/>
  <c r="F42" i="20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O41" i="20" s="1" a="1"/>
  <c r="O41" i="20" s="1"/>
  <c r="E41" i="20"/>
  <c r="A41" i="20"/>
  <c r="E21" i="20" s="1"/>
  <c r="M38" i="20"/>
  <c r="H38" i="20"/>
  <c r="E38" i="20"/>
  <c r="M37" i="20"/>
  <c r="M36" i="20"/>
  <c r="H36" i="20"/>
  <c r="M34" i="20"/>
  <c r="M33" i="20"/>
  <c r="H33" i="20"/>
  <c r="E33" i="20"/>
  <c r="M32" i="20"/>
  <c r="H32" i="20"/>
  <c r="E32" i="20"/>
  <c r="M30" i="20"/>
  <c r="E30" i="20"/>
  <c r="M29" i="20"/>
  <c r="M27" i="20"/>
  <c r="E27" i="20"/>
  <c r="M25" i="20"/>
  <c r="H25" i="20"/>
  <c r="E25" i="20"/>
  <c r="M24" i="20"/>
  <c r="M23" i="20"/>
  <c r="H23" i="20"/>
  <c r="M21" i="20"/>
  <c r="H21" i="20"/>
  <c r="M20" i="20"/>
  <c r="E20" i="20"/>
  <c r="M19" i="20"/>
  <c r="M17" i="20"/>
  <c r="H17" i="20"/>
  <c r="E17" i="20"/>
  <c r="M16" i="20"/>
  <c r="E16" i="20"/>
  <c r="M15" i="20"/>
  <c r="H15" i="20"/>
  <c r="E15" i="20"/>
  <c r="M13" i="20"/>
  <c r="H13" i="20"/>
  <c r="M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O48" i="19" s="1" a="1"/>
  <c r="O48" i="19" s="1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E30" i="19" s="1"/>
  <c r="W46" i="19"/>
  <c r="V46" i="19"/>
  <c r="U46" i="19"/>
  <c r="N46" i="19"/>
  <c r="M46" i="19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Q45" i="19" s="1"/>
  <c r="I45" i="19"/>
  <c r="H45" i="19"/>
  <c r="F45" i="19"/>
  <c r="E45" i="19"/>
  <c r="A45" i="19"/>
  <c r="H34" i="19" s="1"/>
  <c r="W44" i="19"/>
  <c r="V44" i="19"/>
  <c r="U44" i="19"/>
  <c r="N44" i="19"/>
  <c r="M44" i="19"/>
  <c r="K44" i="19"/>
  <c r="I44" i="19"/>
  <c r="H44" i="19"/>
  <c r="F44" i="19"/>
  <c r="R44" i="19" s="1"/>
  <c r="E44" i="19"/>
  <c r="A44" i="19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H37" i="19" s="1"/>
  <c r="W41" i="19"/>
  <c r="V41" i="19"/>
  <c r="U41" i="19"/>
  <c r="N41" i="19"/>
  <c r="M41" i="19"/>
  <c r="K41" i="19"/>
  <c r="I41" i="19"/>
  <c r="H41" i="19"/>
  <c r="F41" i="19"/>
  <c r="Q41" i="19" s="1"/>
  <c r="E41" i="19"/>
  <c r="A41" i="19"/>
  <c r="H29" i="19" s="1"/>
  <c r="M38" i="19"/>
  <c r="E38" i="19"/>
  <c r="M37" i="19"/>
  <c r="M36" i="19"/>
  <c r="H36" i="19"/>
  <c r="M34" i="19"/>
  <c r="E34" i="19"/>
  <c r="M33" i="19"/>
  <c r="H33" i="19"/>
  <c r="M32" i="19"/>
  <c r="H32" i="19"/>
  <c r="E32" i="19"/>
  <c r="M30" i="19"/>
  <c r="M29" i="19"/>
  <c r="M27" i="19"/>
  <c r="M25" i="19"/>
  <c r="H25" i="19"/>
  <c r="E25" i="19"/>
  <c r="M24" i="19"/>
  <c r="M23" i="19"/>
  <c r="E23" i="19"/>
  <c r="M21" i="19"/>
  <c r="H21" i="19"/>
  <c r="M20" i="19"/>
  <c r="H20" i="19"/>
  <c r="E20" i="19"/>
  <c r="M19" i="19"/>
  <c r="M17" i="19"/>
  <c r="H17" i="19"/>
  <c r="M16" i="19"/>
  <c r="M15" i="19"/>
  <c r="H15" i="19"/>
  <c r="E15" i="19"/>
  <c r="M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R47" i="18" s="1"/>
  <c r="E47" i="18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A46" i="18"/>
  <c r="E36" i="18" s="1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E16" i="18" s="1"/>
  <c r="W43" i="18"/>
  <c r="V43" i="18"/>
  <c r="U43" i="18"/>
  <c r="N43" i="18"/>
  <c r="M43" i="18"/>
  <c r="K43" i="18"/>
  <c r="I43" i="18"/>
  <c r="H43" i="18"/>
  <c r="F43" i="18"/>
  <c r="R43" i="18" s="1"/>
  <c r="E43" i="18"/>
  <c r="A43" i="18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A41" i="18"/>
  <c r="H29" i="18" s="1"/>
  <c r="M38" i="18"/>
  <c r="M37" i="18"/>
  <c r="M36" i="18"/>
  <c r="H36" i="18"/>
  <c r="M34" i="18"/>
  <c r="M33" i="18"/>
  <c r="E33" i="18"/>
  <c r="M32" i="18"/>
  <c r="H32" i="18"/>
  <c r="M30" i="18"/>
  <c r="E30" i="18"/>
  <c r="M29" i="18"/>
  <c r="M27" i="18"/>
  <c r="M25" i="18"/>
  <c r="H25" i="18"/>
  <c r="E25" i="18"/>
  <c r="M24" i="18"/>
  <c r="H24" i="18"/>
  <c r="M23" i="18"/>
  <c r="M21" i="18"/>
  <c r="H21" i="18"/>
  <c r="M20" i="18"/>
  <c r="M19" i="18"/>
  <c r="M17" i="18"/>
  <c r="H17" i="18"/>
  <c r="M16" i="18"/>
  <c r="M15" i="18"/>
  <c r="E15" i="18"/>
  <c r="M13" i="18"/>
  <c r="H13" i="18"/>
  <c r="M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R48" i="17" s="1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H32" i="17" s="1"/>
  <c r="W46" i="17"/>
  <c r="V46" i="17"/>
  <c r="U46" i="17"/>
  <c r="N46" i="17"/>
  <c r="M46" i="17"/>
  <c r="K46" i="17"/>
  <c r="I46" i="17"/>
  <c r="H46" i="17"/>
  <c r="F46" i="17"/>
  <c r="E46" i="17"/>
  <c r="A46" i="17"/>
  <c r="W45" i="17"/>
  <c r="V45" i="17"/>
  <c r="U45" i="17"/>
  <c r="N45" i="17"/>
  <c r="M45" i="17"/>
  <c r="K45" i="17"/>
  <c r="I45" i="17"/>
  <c r="S45" i="17" s="1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H38" i="17" s="1"/>
  <c r="W43" i="17"/>
  <c r="V43" i="17"/>
  <c r="U43" i="17"/>
  <c r="N43" i="17"/>
  <c r="M43" i="17"/>
  <c r="K43" i="17"/>
  <c r="I43" i="17"/>
  <c r="H43" i="17"/>
  <c r="F43" i="17"/>
  <c r="E43" i="17"/>
  <c r="A43" i="17"/>
  <c r="E32" i="17" s="1"/>
  <c r="W42" i="17"/>
  <c r="V42" i="17"/>
  <c r="U42" i="17"/>
  <c r="N42" i="17"/>
  <c r="M42" i="17"/>
  <c r="K42" i="17"/>
  <c r="I42" i="17"/>
  <c r="H42" i="17"/>
  <c r="F42" i="17"/>
  <c r="E42" i="17"/>
  <c r="A42" i="17"/>
  <c r="H37" i="17" s="1"/>
  <c r="W41" i="17"/>
  <c r="V41" i="17"/>
  <c r="U41" i="17"/>
  <c r="N41" i="17"/>
  <c r="M41" i="17"/>
  <c r="K41" i="17"/>
  <c r="I41" i="17"/>
  <c r="H41" i="17"/>
  <c r="F41" i="17"/>
  <c r="E41" i="17"/>
  <c r="A41" i="17"/>
  <c r="H29" i="17" s="1"/>
  <c r="M38" i="17"/>
  <c r="M37" i="17"/>
  <c r="M36" i="17"/>
  <c r="E36" i="17"/>
  <c r="M34" i="17"/>
  <c r="E34" i="17"/>
  <c r="M33" i="17"/>
  <c r="H33" i="17"/>
  <c r="E33" i="17"/>
  <c r="M32" i="17"/>
  <c r="M30" i="17"/>
  <c r="H30" i="17"/>
  <c r="M29" i="17"/>
  <c r="M27" i="17"/>
  <c r="H27" i="17"/>
  <c r="M25" i="17"/>
  <c r="E25" i="17"/>
  <c r="M24" i="17"/>
  <c r="H24" i="17"/>
  <c r="E24" i="17"/>
  <c r="M23" i="17"/>
  <c r="E23" i="17"/>
  <c r="M21" i="17"/>
  <c r="M20" i="17"/>
  <c r="M19" i="17"/>
  <c r="H19" i="17"/>
  <c r="E19" i="17"/>
  <c r="M17" i="17"/>
  <c r="E17" i="17"/>
  <c r="M16" i="17"/>
  <c r="M15" i="17"/>
  <c r="E15" i="17"/>
  <c r="M13" i="17"/>
  <c r="H13" i="17"/>
  <c r="M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A47" i="16"/>
  <c r="H17" i="16" s="1"/>
  <c r="W46" i="16"/>
  <c r="V46" i="16"/>
  <c r="U46" i="16"/>
  <c r="N46" i="16"/>
  <c r="M46" i="16"/>
  <c r="K46" i="16"/>
  <c r="I46" i="16"/>
  <c r="H46" i="16"/>
  <c r="F46" i="16"/>
  <c r="E46" i="16"/>
  <c r="A46" i="16"/>
  <c r="E36" i="16" s="1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R44" i="16" s="1"/>
  <c r="A44" i="16"/>
  <c r="E16" i="16" s="1"/>
  <c r="W43" i="16"/>
  <c r="V43" i="16"/>
  <c r="U43" i="16"/>
  <c r="N43" i="16"/>
  <c r="M43" i="16"/>
  <c r="K43" i="16"/>
  <c r="I43" i="16"/>
  <c r="S43" i="16" s="1"/>
  <c r="H43" i="16"/>
  <c r="F43" i="16"/>
  <c r="E43" i="16"/>
  <c r="A43" i="16"/>
  <c r="W42" i="16"/>
  <c r="V42" i="16"/>
  <c r="U42" i="16"/>
  <c r="O42" i="16" a="1"/>
  <c r="O42" i="16" s="1"/>
  <c r="N42" i="16"/>
  <c r="M42" i="16"/>
  <c r="K42" i="16"/>
  <c r="I42" i="16"/>
  <c r="H42" i="16"/>
  <c r="F42" i="16"/>
  <c r="E42" i="16"/>
  <c r="A42" i="16"/>
  <c r="W41" i="16"/>
  <c r="V41" i="16"/>
  <c r="U41" i="16"/>
  <c r="N41" i="16"/>
  <c r="M41" i="16"/>
  <c r="K41" i="16"/>
  <c r="I41" i="16"/>
  <c r="H41" i="16"/>
  <c r="F41" i="16"/>
  <c r="E41" i="16"/>
  <c r="A41" i="16"/>
  <c r="E34" i="16" s="1"/>
  <c r="M38" i="16"/>
  <c r="H38" i="16"/>
  <c r="M37" i="16"/>
  <c r="E37" i="16"/>
  <c r="M36" i="16"/>
  <c r="H36" i="16"/>
  <c r="M34" i="16"/>
  <c r="M33" i="16"/>
  <c r="M32" i="16"/>
  <c r="H32" i="16"/>
  <c r="E32" i="16"/>
  <c r="M30" i="16"/>
  <c r="E30" i="16"/>
  <c r="M29" i="16"/>
  <c r="E29" i="16"/>
  <c r="M27" i="16"/>
  <c r="E27" i="16"/>
  <c r="M25" i="16"/>
  <c r="H25" i="16"/>
  <c r="M24" i="16"/>
  <c r="H24" i="16"/>
  <c r="M23" i="16"/>
  <c r="H23" i="16"/>
  <c r="M21" i="16"/>
  <c r="H21" i="16"/>
  <c r="M20" i="16"/>
  <c r="E20" i="16"/>
  <c r="M19" i="16"/>
  <c r="M17" i="16"/>
  <c r="M16" i="16"/>
  <c r="M15" i="16"/>
  <c r="H15" i="16"/>
  <c r="M13" i="16"/>
  <c r="H13" i="16"/>
  <c r="M12" i="16"/>
  <c r="E12" i="16"/>
  <c r="M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Q47" i="15" s="1"/>
  <c r="E47" i="15"/>
  <c r="A47" i="15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O45" i="15" s="1" a="1"/>
  <c r="O45" i="15" s="1"/>
  <c r="K45" i="15"/>
  <c r="I45" i="15"/>
  <c r="H45" i="15"/>
  <c r="F45" i="15"/>
  <c r="E45" i="15"/>
  <c r="A45" i="15"/>
  <c r="W44" i="15"/>
  <c r="V44" i="15"/>
  <c r="U44" i="15"/>
  <c r="N44" i="15"/>
  <c r="M44" i="15"/>
  <c r="K44" i="15"/>
  <c r="I44" i="15"/>
  <c r="H44" i="15"/>
  <c r="F44" i="15"/>
  <c r="E44" i="15"/>
  <c r="A44" i="15"/>
  <c r="E16" i="15" s="1"/>
  <c r="W43" i="15"/>
  <c r="V43" i="15"/>
  <c r="U43" i="15"/>
  <c r="N43" i="15"/>
  <c r="M43" i="15"/>
  <c r="K43" i="15"/>
  <c r="I43" i="15"/>
  <c r="H43" i="15"/>
  <c r="F43" i="15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E42" i="15"/>
  <c r="A42" i="15"/>
  <c r="W41" i="15"/>
  <c r="V41" i="15"/>
  <c r="U41" i="15"/>
  <c r="N41" i="15"/>
  <c r="M41" i="15"/>
  <c r="K41" i="15"/>
  <c r="I41" i="15"/>
  <c r="H41" i="15"/>
  <c r="F41" i="15"/>
  <c r="E41" i="15"/>
  <c r="A41" i="15"/>
  <c r="E34" i="15" s="1"/>
  <c r="M38" i="15"/>
  <c r="H38" i="15"/>
  <c r="M37" i="15"/>
  <c r="M36" i="15"/>
  <c r="E36" i="15"/>
  <c r="M34" i="15"/>
  <c r="M33" i="15"/>
  <c r="H33" i="15"/>
  <c r="M32" i="15"/>
  <c r="E32" i="15"/>
  <c r="M30" i="15"/>
  <c r="E30" i="15"/>
  <c r="M29" i="15"/>
  <c r="M27" i="15"/>
  <c r="H27" i="15"/>
  <c r="M25" i="15"/>
  <c r="M24" i="15"/>
  <c r="E24" i="15"/>
  <c r="M23" i="15"/>
  <c r="M21" i="15"/>
  <c r="M20" i="15"/>
  <c r="E20" i="15"/>
  <c r="M19" i="15"/>
  <c r="M17" i="15"/>
  <c r="E17" i="15"/>
  <c r="M16" i="15"/>
  <c r="M15" i="15"/>
  <c r="H15" i="15"/>
  <c r="M13" i="15"/>
  <c r="H13" i="15"/>
  <c r="M12" i="15"/>
  <c r="M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H28" i="14" s="1"/>
  <c r="W47" i="14"/>
  <c r="V47" i="14"/>
  <c r="U47" i="14"/>
  <c r="N47" i="14"/>
  <c r="M47" i="14"/>
  <c r="K47" i="14"/>
  <c r="I47" i="14"/>
  <c r="H47" i="14"/>
  <c r="F47" i="14"/>
  <c r="R47" i="14" s="1"/>
  <c r="E47" i="14"/>
  <c r="A47" i="14"/>
  <c r="H25" i="14" s="1"/>
  <c r="W46" i="14"/>
  <c r="V46" i="14"/>
  <c r="U46" i="14"/>
  <c r="N46" i="14"/>
  <c r="M46" i="14"/>
  <c r="K46" i="14"/>
  <c r="I46" i="14"/>
  <c r="H46" i="14"/>
  <c r="F46" i="14"/>
  <c r="E46" i="14"/>
  <c r="A46" i="14"/>
  <c r="W45" i="14"/>
  <c r="V45" i="14"/>
  <c r="U45" i="14"/>
  <c r="N45" i="14"/>
  <c r="M45" i="14"/>
  <c r="K45" i="14"/>
  <c r="I45" i="14"/>
  <c r="H45" i="14"/>
  <c r="F45" i="14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Q44" i="14" s="1"/>
  <c r="E44" i="14"/>
  <c r="A44" i="14"/>
  <c r="H31" i="14" s="1"/>
  <c r="W43" i="14"/>
  <c r="V43" i="14"/>
  <c r="U43" i="14"/>
  <c r="N43" i="14"/>
  <c r="M43" i="14"/>
  <c r="K43" i="14"/>
  <c r="I43" i="14"/>
  <c r="H43" i="14"/>
  <c r="F43" i="14"/>
  <c r="E43" i="14"/>
  <c r="A43" i="14"/>
  <c r="E20" i="14" s="1"/>
  <c r="W42" i="14"/>
  <c r="V42" i="14"/>
  <c r="U42" i="14"/>
  <c r="N42" i="14"/>
  <c r="M42" i="14"/>
  <c r="K42" i="14"/>
  <c r="I42" i="14"/>
  <c r="H42" i="14"/>
  <c r="F42" i="14"/>
  <c r="Q42" i="14" s="1"/>
  <c r="E42" i="14"/>
  <c r="A42" i="14"/>
  <c r="W41" i="14"/>
  <c r="V41" i="14"/>
  <c r="U41" i="14"/>
  <c r="N41" i="14"/>
  <c r="M41" i="14"/>
  <c r="K41" i="14"/>
  <c r="I41" i="14"/>
  <c r="S41" i="14" s="1"/>
  <c r="H41" i="14"/>
  <c r="F41" i="14"/>
  <c r="E41" i="14"/>
  <c r="O41" i="14" s="1" a="1"/>
  <c r="O41" i="14" s="1"/>
  <c r="A41" i="14"/>
  <c r="E11" i="14" s="1"/>
  <c r="M38" i="14"/>
  <c r="H38" i="14"/>
  <c r="M37" i="14"/>
  <c r="M36" i="14"/>
  <c r="E36" i="14"/>
  <c r="M35" i="14"/>
  <c r="M34" i="14"/>
  <c r="M33" i="14"/>
  <c r="H33" i="14"/>
  <c r="M32" i="14"/>
  <c r="M31" i="14"/>
  <c r="M30" i="14"/>
  <c r="M29" i="14"/>
  <c r="E29" i="14"/>
  <c r="M28" i="14"/>
  <c r="M27" i="14"/>
  <c r="H27" i="14"/>
  <c r="M26" i="14"/>
  <c r="H26" i="14"/>
  <c r="M25" i="14"/>
  <c r="M24" i="14"/>
  <c r="H24" i="14"/>
  <c r="E24" i="14"/>
  <c r="M23" i="14"/>
  <c r="E23" i="14"/>
  <c r="M22" i="14"/>
  <c r="H22" i="14"/>
  <c r="E22" i="14"/>
  <c r="M21" i="14"/>
  <c r="M20" i="14"/>
  <c r="H20" i="14"/>
  <c r="M19" i="14"/>
  <c r="E19" i="14"/>
  <c r="M18" i="14"/>
  <c r="M17" i="14"/>
  <c r="E17" i="14"/>
  <c r="M16" i="14"/>
  <c r="E16" i="14"/>
  <c r="M15" i="14"/>
  <c r="E15" i="14"/>
  <c r="M14" i="14"/>
  <c r="M13" i="14"/>
  <c r="H13" i="14"/>
  <c r="M12" i="14"/>
  <c r="H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S47" i="13" s="1"/>
  <c r="E47" i="13"/>
  <c r="A47" i="13"/>
  <c r="W46" i="13"/>
  <c r="V46" i="13"/>
  <c r="U46" i="13"/>
  <c r="N46" i="13"/>
  <c r="M46" i="13"/>
  <c r="O46" i="13" s="1" a="1"/>
  <c r="O46" i="13" s="1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F45" i="13"/>
  <c r="R45" i="13" s="1"/>
  <c r="E45" i="13"/>
  <c r="O45" i="13" s="1" a="1"/>
  <c r="O45" i="13" s="1"/>
  <c r="A45" i="13"/>
  <c r="H30" i="13" s="1"/>
  <c r="W44" i="13"/>
  <c r="V44" i="13"/>
  <c r="U44" i="13"/>
  <c r="N44" i="13"/>
  <c r="M44" i="13"/>
  <c r="Q44" i="13" s="1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F43" i="13"/>
  <c r="E43" i="13"/>
  <c r="R43" i="13" s="1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A42" i="13"/>
  <c r="E28" i="13" s="1"/>
  <c r="W41" i="13"/>
  <c r="V41" i="13"/>
  <c r="U41" i="13"/>
  <c r="O41" i="13" a="1"/>
  <c r="O41" i="13" s="1"/>
  <c r="N41" i="13"/>
  <c r="M41" i="13"/>
  <c r="K41" i="13"/>
  <c r="I41" i="13"/>
  <c r="H41" i="13"/>
  <c r="F41" i="13"/>
  <c r="Q41" i="13" s="1"/>
  <c r="E41" i="13"/>
  <c r="A41" i="13"/>
  <c r="H29" i="13" s="1"/>
  <c r="M38" i="13"/>
  <c r="E38" i="13"/>
  <c r="M37" i="13"/>
  <c r="M36" i="13"/>
  <c r="M35" i="13"/>
  <c r="E35" i="13"/>
  <c r="M34" i="13"/>
  <c r="M33" i="13"/>
  <c r="M32" i="13"/>
  <c r="H32" i="13"/>
  <c r="M31" i="13"/>
  <c r="H31" i="13"/>
  <c r="E31" i="13"/>
  <c r="M30" i="13"/>
  <c r="E30" i="13"/>
  <c r="M29" i="13"/>
  <c r="M28" i="13"/>
  <c r="H28" i="13"/>
  <c r="M27" i="13"/>
  <c r="M26" i="13"/>
  <c r="H26" i="13"/>
  <c r="M25" i="13"/>
  <c r="H25" i="13"/>
  <c r="M24" i="13"/>
  <c r="M23" i="13"/>
  <c r="E23" i="13"/>
  <c r="M22" i="13"/>
  <c r="H22" i="13"/>
  <c r="M21" i="13"/>
  <c r="H21" i="13"/>
  <c r="M20" i="13"/>
  <c r="H20" i="13"/>
  <c r="E20" i="13"/>
  <c r="M19" i="13"/>
  <c r="M18" i="13"/>
  <c r="E18" i="13"/>
  <c r="M17" i="13"/>
  <c r="H17" i="13"/>
  <c r="M16" i="13"/>
  <c r="M15" i="13"/>
  <c r="H15" i="13"/>
  <c r="E15" i="13"/>
  <c r="M14" i="13"/>
  <c r="H14" i="13"/>
  <c r="E14" i="13"/>
  <c r="M13" i="13"/>
  <c r="M12" i="13"/>
  <c r="H12" i="13"/>
  <c r="E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O48" i="12" s="1" a="1"/>
  <c r="O48" i="12" s="1"/>
  <c r="A48" i="12"/>
  <c r="W47" i="12"/>
  <c r="V47" i="12"/>
  <c r="U47" i="12"/>
  <c r="N47" i="12"/>
  <c r="M47" i="12"/>
  <c r="K47" i="12"/>
  <c r="S47" i="12" s="1"/>
  <c r="I47" i="12"/>
  <c r="H47" i="12"/>
  <c r="F47" i="12"/>
  <c r="E47" i="12"/>
  <c r="A47" i="12"/>
  <c r="E38" i="12" s="1"/>
  <c r="W46" i="12"/>
  <c r="V46" i="12"/>
  <c r="U46" i="12"/>
  <c r="N46" i="12"/>
  <c r="M46" i="12"/>
  <c r="K46" i="12"/>
  <c r="I46" i="12"/>
  <c r="H46" i="12"/>
  <c r="F46" i="12"/>
  <c r="S46" i="12" s="1"/>
  <c r="E46" i="12"/>
  <c r="A46" i="12"/>
  <c r="W45" i="12"/>
  <c r="V45" i="12"/>
  <c r="U45" i="12"/>
  <c r="N45" i="12"/>
  <c r="M45" i="12"/>
  <c r="K45" i="12"/>
  <c r="I45" i="12"/>
  <c r="H45" i="12"/>
  <c r="F45" i="12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R44" i="12" s="1"/>
  <c r="A44" i="12"/>
  <c r="E16" i="12" s="1"/>
  <c r="W43" i="12"/>
  <c r="V43" i="12"/>
  <c r="U43" i="12"/>
  <c r="N43" i="12"/>
  <c r="M43" i="12"/>
  <c r="K43" i="12"/>
  <c r="I43" i="12"/>
  <c r="O43" i="12" s="1" a="1"/>
  <c r="O43" i="12" s="1"/>
  <c r="H43" i="12"/>
  <c r="F43" i="12"/>
  <c r="E43" i="12"/>
  <c r="A43" i="12"/>
  <c r="H35" i="12" s="1"/>
  <c r="W42" i="12"/>
  <c r="V42" i="12"/>
  <c r="U42" i="12"/>
  <c r="N42" i="12"/>
  <c r="M42" i="12"/>
  <c r="K42" i="12"/>
  <c r="I42" i="12"/>
  <c r="H42" i="12"/>
  <c r="F42" i="12"/>
  <c r="E42" i="12"/>
  <c r="A42" i="12"/>
  <c r="E33" i="12" s="1"/>
  <c r="W41" i="12"/>
  <c r="V41" i="12"/>
  <c r="U41" i="12"/>
  <c r="N41" i="12"/>
  <c r="M41" i="12"/>
  <c r="K41" i="12"/>
  <c r="I41" i="12"/>
  <c r="H41" i="12"/>
  <c r="F41" i="12"/>
  <c r="R41" i="12" s="1"/>
  <c r="E41" i="12"/>
  <c r="A41" i="12"/>
  <c r="M38" i="12"/>
  <c r="H38" i="12"/>
  <c r="M37" i="12"/>
  <c r="M36" i="12"/>
  <c r="H36" i="12"/>
  <c r="E36" i="12"/>
  <c r="M35" i="12"/>
  <c r="E35" i="12"/>
  <c r="M34" i="12"/>
  <c r="M33" i="12"/>
  <c r="M32" i="12"/>
  <c r="H32" i="12"/>
  <c r="M31" i="12"/>
  <c r="E31" i="12"/>
  <c r="M30" i="12"/>
  <c r="M29" i="12"/>
  <c r="E29" i="12"/>
  <c r="M28" i="12"/>
  <c r="H28" i="12"/>
  <c r="E28" i="12"/>
  <c r="M27" i="12"/>
  <c r="E27" i="12"/>
  <c r="M26" i="12"/>
  <c r="H26" i="12"/>
  <c r="M25" i="12"/>
  <c r="M24" i="12"/>
  <c r="H24" i="12"/>
  <c r="M23" i="12"/>
  <c r="M22" i="12"/>
  <c r="H22" i="12"/>
  <c r="M21" i="12"/>
  <c r="M20" i="12"/>
  <c r="H20" i="12"/>
  <c r="E20" i="12"/>
  <c r="M19" i="12"/>
  <c r="E19" i="12"/>
  <c r="M18" i="12"/>
  <c r="E18" i="12"/>
  <c r="M17" i="12"/>
  <c r="M16" i="12"/>
  <c r="M15" i="12"/>
  <c r="E15" i="12"/>
  <c r="M14" i="12"/>
  <c r="H14" i="12"/>
  <c r="M13" i="12"/>
  <c r="M12" i="12"/>
  <c r="H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E38" i="11" s="1"/>
  <c r="W46" i="11"/>
  <c r="V46" i="11"/>
  <c r="U46" i="11"/>
  <c r="N46" i="11"/>
  <c r="M46" i="11"/>
  <c r="K46" i="11"/>
  <c r="I46" i="11"/>
  <c r="H46" i="11"/>
  <c r="F46" i="11"/>
  <c r="S46" i="11" s="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O45" i="11" s="1" a="1"/>
  <c r="O45" i="11" s="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O44" i="11" s="1" a="1"/>
  <c r="O44" i="11" s="1"/>
  <c r="A44" i="11"/>
  <c r="W43" i="11"/>
  <c r="V43" i="11"/>
  <c r="U43" i="11"/>
  <c r="N43" i="11"/>
  <c r="M43" i="11"/>
  <c r="K43" i="11"/>
  <c r="I43" i="11"/>
  <c r="T43" i="11" s="1"/>
  <c r="H43" i="11"/>
  <c r="F43" i="11"/>
  <c r="E43" i="1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A41" i="11"/>
  <c r="E34" i="11" s="1"/>
  <c r="M38" i="11"/>
  <c r="H38" i="11"/>
  <c r="M37" i="11"/>
  <c r="M36" i="11"/>
  <c r="M35" i="11"/>
  <c r="E35" i="11"/>
  <c r="M34" i="11"/>
  <c r="M33" i="11"/>
  <c r="M32" i="11"/>
  <c r="H32" i="11"/>
  <c r="M31" i="11"/>
  <c r="H31" i="11"/>
  <c r="E31" i="11"/>
  <c r="M30" i="11"/>
  <c r="M29" i="11"/>
  <c r="E29" i="11"/>
  <c r="M28" i="11"/>
  <c r="H28" i="11"/>
  <c r="M27" i="11"/>
  <c r="M26" i="11"/>
  <c r="H26" i="11"/>
  <c r="M25" i="11"/>
  <c r="H25" i="11"/>
  <c r="M24" i="11"/>
  <c r="H24" i="11"/>
  <c r="M23" i="11"/>
  <c r="E23" i="11"/>
  <c r="M22" i="11"/>
  <c r="H22" i="11"/>
  <c r="M21" i="11"/>
  <c r="H21" i="11"/>
  <c r="M20" i="11"/>
  <c r="E20" i="11"/>
  <c r="M19" i="11"/>
  <c r="E19" i="11"/>
  <c r="M18" i="11"/>
  <c r="E18" i="11"/>
  <c r="M17" i="11"/>
  <c r="H17" i="11"/>
  <c r="M16" i="11"/>
  <c r="E16" i="11"/>
  <c r="M15" i="11"/>
  <c r="H15" i="11"/>
  <c r="E15" i="11"/>
  <c r="M14" i="11"/>
  <c r="H14" i="11"/>
  <c r="E14" i="11"/>
  <c r="M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A47" i="10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O45" i="10" a="1"/>
  <c r="O45" i="10" s="1"/>
  <c r="N45" i="10"/>
  <c r="M45" i="10"/>
  <c r="K45" i="10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E16" i="10" s="1"/>
  <c r="W43" i="10"/>
  <c r="V43" i="10"/>
  <c r="U43" i="10"/>
  <c r="N43" i="10"/>
  <c r="S43" i="10" s="1"/>
  <c r="M43" i="10"/>
  <c r="K43" i="10"/>
  <c r="I43" i="10"/>
  <c r="H43" i="10"/>
  <c r="F43" i="10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O41" i="10" s="1" a="1"/>
  <c r="O41" i="10" s="1"/>
  <c r="A41" i="10"/>
  <c r="E34" i="10" s="1"/>
  <c r="M38" i="10"/>
  <c r="H38" i="10"/>
  <c r="E38" i="10"/>
  <c r="M37" i="10"/>
  <c r="M36" i="10"/>
  <c r="M34" i="10"/>
  <c r="M33" i="10"/>
  <c r="H33" i="10"/>
  <c r="E33" i="10"/>
  <c r="M32" i="10"/>
  <c r="H32" i="10"/>
  <c r="M30" i="10"/>
  <c r="E30" i="10"/>
  <c r="M29" i="10"/>
  <c r="E29" i="10"/>
  <c r="M27" i="10"/>
  <c r="M25" i="10"/>
  <c r="H25" i="10"/>
  <c r="E25" i="10"/>
  <c r="M24" i="10"/>
  <c r="H24" i="10"/>
  <c r="M23" i="10"/>
  <c r="M21" i="10"/>
  <c r="H21" i="10"/>
  <c r="M20" i="10"/>
  <c r="M19" i="10"/>
  <c r="E19" i="10"/>
  <c r="M17" i="10"/>
  <c r="H17" i="10"/>
  <c r="E17" i="10"/>
  <c r="M16" i="10"/>
  <c r="M15" i="10"/>
  <c r="E15" i="10"/>
  <c r="M13" i="10"/>
  <c r="H13" i="10"/>
  <c r="M12" i="10"/>
  <c r="M11" i="10"/>
  <c r="H11" i="10"/>
  <c r="N8" i="10"/>
  <c r="K8" i="10"/>
  <c r="E8" i="10"/>
  <c r="A8" i="10"/>
  <c r="W48" i="9"/>
  <c r="V48" i="9"/>
  <c r="U48" i="9"/>
  <c r="S48" i="9"/>
  <c r="N48" i="9"/>
  <c r="M48" i="9"/>
  <c r="K48" i="9"/>
  <c r="I48" i="9"/>
  <c r="H48" i="9"/>
  <c r="F48" i="9"/>
  <c r="E48" i="9"/>
  <c r="O48" i="9" s="1" a="1"/>
  <c r="O48" i="9" s="1"/>
  <c r="A48" i="9"/>
  <c r="W47" i="9"/>
  <c r="V47" i="9"/>
  <c r="U47" i="9"/>
  <c r="N47" i="9"/>
  <c r="M47" i="9"/>
  <c r="K47" i="9"/>
  <c r="I47" i="9"/>
  <c r="H47" i="9"/>
  <c r="F47" i="9"/>
  <c r="E47" i="9"/>
  <c r="A47" i="9"/>
  <c r="W46" i="9"/>
  <c r="V46" i="9"/>
  <c r="U46" i="9"/>
  <c r="N46" i="9"/>
  <c r="O46" i="9" s="1" a="1"/>
  <c r="O46" i="9" s="1"/>
  <c r="M46" i="9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R45" i="9" s="1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E19" i="9" s="1"/>
  <c r="W43" i="9"/>
  <c r="V43" i="9"/>
  <c r="U43" i="9"/>
  <c r="N43" i="9"/>
  <c r="M43" i="9"/>
  <c r="K43" i="9"/>
  <c r="I43" i="9"/>
  <c r="H43" i="9"/>
  <c r="F43" i="9"/>
  <c r="E43" i="9"/>
  <c r="R43" i="9" s="1"/>
  <c r="A43" i="9"/>
  <c r="E27" i="9" s="1"/>
  <c r="W42" i="9"/>
  <c r="V42" i="9"/>
  <c r="U42" i="9"/>
  <c r="N42" i="9"/>
  <c r="M42" i="9"/>
  <c r="K42" i="9"/>
  <c r="I42" i="9"/>
  <c r="H42" i="9"/>
  <c r="F42" i="9"/>
  <c r="O42" i="9" s="1" a="1"/>
  <c r="O42" i="9" s="1"/>
  <c r="E42" i="9"/>
  <c r="A42" i="9"/>
  <c r="H37" i="9" s="1"/>
  <c r="W41" i="9"/>
  <c r="V41" i="9"/>
  <c r="U41" i="9"/>
  <c r="N41" i="9"/>
  <c r="M41" i="9"/>
  <c r="K41" i="9"/>
  <c r="I41" i="9"/>
  <c r="H41" i="9"/>
  <c r="F41" i="9"/>
  <c r="E41" i="9"/>
  <c r="A41" i="9"/>
  <c r="E34" i="9" s="1"/>
  <c r="M38" i="9"/>
  <c r="E38" i="9"/>
  <c r="M37" i="9"/>
  <c r="M36" i="9"/>
  <c r="M34" i="9"/>
  <c r="M33" i="9"/>
  <c r="M32" i="9"/>
  <c r="H32" i="9"/>
  <c r="M30" i="9"/>
  <c r="E30" i="9"/>
  <c r="M29" i="9"/>
  <c r="E29" i="9"/>
  <c r="M27" i="9"/>
  <c r="M25" i="9"/>
  <c r="H25" i="9"/>
  <c r="M24" i="9"/>
  <c r="H24" i="9"/>
  <c r="M23" i="9"/>
  <c r="M21" i="9"/>
  <c r="H21" i="9"/>
  <c r="M20" i="9"/>
  <c r="M19" i="9"/>
  <c r="M17" i="9"/>
  <c r="H17" i="9"/>
  <c r="M16" i="9"/>
  <c r="E16" i="9"/>
  <c r="M15" i="9"/>
  <c r="M13" i="9"/>
  <c r="M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O48" i="8" s="1" a="1"/>
  <c r="O48" i="8" s="1"/>
  <c r="A48" i="8"/>
  <c r="W47" i="8"/>
  <c r="V47" i="8"/>
  <c r="U47" i="8"/>
  <c r="N47" i="8"/>
  <c r="M47" i="8"/>
  <c r="K47" i="8"/>
  <c r="I47" i="8"/>
  <c r="T47" i="8" s="1"/>
  <c r="H47" i="8"/>
  <c r="F47" i="8"/>
  <c r="S47" i="8" s="1"/>
  <c r="E47" i="8"/>
  <c r="A47" i="8"/>
  <c r="E38" i="8" s="1"/>
  <c r="W46" i="8"/>
  <c r="V46" i="8"/>
  <c r="U46" i="8"/>
  <c r="N46" i="8"/>
  <c r="M46" i="8"/>
  <c r="K46" i="8"/>
  <c r="I46" i="8"/>
  <c r="H46" i="8"/>
  <c r="F46" i="8"/>
  <c r="E46" i="8"/>
  <c r="A46" i="8"/>
  <c r="E36" i="8" s="1"/>
  <c r="W45" i="8"/>
  <c r="V45" i="8"/>
  <c r="U45" i="8"/>
  <c r="N45" i="8"/>
  <c r="M45" i="8"/>
  <c r="K45" i="8"/>
  <c r="I45" i="8"/>
  <c r="H45" i="8"/>
  <c r="F45" i="8"/>
  <c r="E45" i="8"/>
  <c r="A45" i="8"/>
  <c r="H20" i="8" s="1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H43" i="8"/>
  <c r="F43" i="8"/>
  <c r="E43" i="8"/>
  <c r="R43" i="8" s="1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E25" i="8" s="1"/>
  <c r="W41" i="8"/>
  <c r="V41" i="8"/>
  <c r="U41" i="8"/>
  <c r="O41" i="8" a="1"/>
  <c r="O41" i="8" s="1"/>
  <c r="N41" i="8"/>
  <c r="M41" i="8"/>
  <c r="K41" i="8"/>
  <c r="I41" i="8"/>
  <c r="H41" i="8"/>
  <c r="F41" i="8"/>
  <c r="E41" i="8"/>
  <c r="T41" i="8" s="1"/>
  <c r="A41" i="8"/>
  <c r="H29" i="8" s="1"/>
  <c r="M38" i="8"/>
  <c r="H38" i="8"/>
  <c r="M37" i="8"/>
  <c r="M36" i="8"/>
  <c r="M34" i="8"/>
  <c r="M33" i="8"/>
  <c r="E33" i="8"/>
  <c r="M32" i="8"/>
  <c r="H32" i="8"/>
  <c r="E32" i="8"/>
  <c r="M30" i="8"/>
  <c r="E30" i="8"/>
  <c r="M29" i="8"/>
  <c r="M27" i="8"/>
  <c r="M25" i="8"/>
  <c r="H25" i="8"/>
  <c r="M24" i="8"/>
  <c r="H24" i="8"/>
  <c r="M23" i="8"/>
  <c r="H23" i="8"/>
  <c r="M21" i="8"/>
  <c r="M20" i="8"/>
  <c r="E20" i="8"/>
  <c r="M19" i="8"/>
  <c r="E19" i="8"/>
  <c r="M17" i="8"/>
  <c r="H17" i="8"/>
  <c r="M16" i="8"/>
  <c r="M15" i="8"/>
  <c r="H15" i="8"/>
  <c r="M13" i="8"/>
  <c r="H13" i="8"/>
  <c r="M12" i="8"/>
  <c r="H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E47" i="7"/>
  <c r="A47" i="7"/>
  <c r="E30" i="7" s="1"/>
  <c r="W46" i="7"/>
  <c r="V46" i="7"/>
  <c r="U46" i="7"/>
  <c r="N46" i="7"/>
  <c r="M46" i="7"/>
  <c r="K46" i="7"/>
  <c r="I46" i="7"/>
  <c r="H46" i="7"/>
  <c r="F46" i="7"/>
  <c r="E46" i="7"/>
  <c r="T46" i="7" s="1"/>
  <c r="A46" i="7"/>
  <c r="E36" i="7" s="1"/>
  <c r="W45" i="7"/>
  <c r="V45" i="7"/>
  <c r="U45" i="7"/>
  <c r="N45" i="7"/>
  <c r="M45" i="7"/>
  <c r="K45" i="7"/>
  <c r="I45" i="7"/>
  <c r="H45" i="7"/>
  <c r="O45" i="7" s="1" a="1"/>
  <c r="O45" i="7" s="1"/>
  <c r="F45" i="7"/>
  <c r="E45" i="7"/>
  <c r="A45" i="7"/>
  <c r="H34" i="7" s="1"/>
  <c r="W44" i="7"/>
  <c r="V44" i="7"/>
  <c r="U44" i="7"/>
  <c r="N44" i="7"/>
  <c r="M44" i="7"/>
  <c r="K44" i="7"/>
  <c r="I44" i="7"/>
  <c r="H44" i="7"/>
  <c r="F44" i="7"/>
  <c r="E44" i="7"/>
  <c r="O44" i="7" s="1" a="1"/>
  <c r="O44" i="7" s="1"/>
  <c r="A44" i="7"/>
  <c r="H12" i="7" s="1"/>
  <c r="W43" i="7"/>
  <c r="V43" i="7"/>
  <c r="U43" i="7"/>
  <c r="N43" i="7"/>
  <c r="M43" i="7"/>
  <c r="K43" i="7"/>
  <c r="I43" i="7"/>
  <c r="H43" i="7"/>
  <c r="F43" i="7"/>
  <c r="E43" i="7"/>
  <c r="A43" i="7"/>
  <c r="H35" i="7" s="1"/>
  <c r="W42" i="7"/>
  <c r="V42" i="7"/>
  <c r="U42" i="7"/>
  <c r="N42" i="7"/>
  <c r="M42" i="7"/>
  <c r="O42" i="7" s="1" a="1"/>
  <c r="O42" i="7" s="1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O41" i="7" s="1" a="1"/>
  <c r="O41" i="7" s="1"/>
  <c r="E41" i="7"/>
  <c r="A41" i="7"/>
  <c r="H29" i="7" s="1"/>
  <c r="M38" i="7"/>
  <c r="E38" i="7"/>
  <c r="M37" i="7"/>
  <c r="M36" i="7"/>
  <c r="H36" i="7"/>
  <c r="M35" i="7"/>
  <c r="E35" i="7"/>
  <c r="M34" i="7"/>
  <c r="M33" i="7"/>
  <c r="M32" i="7"/>
  <c r="H32" i="7"/>
  <c r="E32" i="7"/>
  <c r="M31" i="7"/>
  <c r="E31" i="7"/>
  <c r="M30" i="7"/>
  <c r="M29" i="7"/>
  <c r="M28" i="7"/>
  <c r="H28" i="7"/>
  <c r="M27" i="7"/>
  <c r="E27" i="7"/>
  <c r="M26" i="7"/>
  <c r="H26" i="7"/>
  <c r="M25" i="7"/>
  <c r="H25" i="7"/>
  <c r="M24" i="7"/>
  <c r="H24" i="7"/>
  <c r="M23" i="7"/>
  <c r="H23" i="7"/>
  <c r="M22" i="7"/>
  <c r="H22" i="7"/>
  <c r="M21" i="7"/>
  <c r="H21" i="7"/>
  <c r="M20" i="7"/>
  <c r="E20" i="7"/>
  <c r="M19" i="7"/>
  <c r="M18" i="7"/>
  <c r="E18" i="7"/>
  <c r="M17" i="7"/>
  <c r="H17" i="7"/>
  <c r="M16" i="7"/>
  <c r="M15" i="7"/>
  <c r="H15" i="7"/>
  <c r="E15" i="7"/>
  <c r="M14" i="7"/>
  <c r="H14" i="7"/>
  <c r="E14" i="7"/>
  <c r="M13" i="7"/>
  <c r="M12" i="7"/>
  <c r="E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E38" i="6" s="1"/>
  <c r="W46" i="6"/>
  <c r="V46" i="6"/>
  <c r="U46" i="6"/>
  <c r="N46" i="6"/>
  <c r="M46" i="6"/>
  <c r="K46" i="6"/>
  <c r="I46" i="6"/>
  <c r="H46" i="6"/>
  <c r="F46" i="6"/>
  <c r="O46" i="6" s="1" a="1"/>
  <c r="O46" i="6" s="1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A45" i="6"/>
  <c r="H34" i="6" s="1"/>
  <c r="W44" i="6"/>
  <c r="V44" i="6"/>
  <c r="U44" i="6"/>
  <c r="N44" i="6"/>
  <c r="M44" i="6"/>
  <c r="K44" i="6"/>
  <c r="I44" i="6"/>
  <c r="H44" i="6"/>
  <c r="F44" i="6"/>
  <c r="R44" i="6" s="1"/>
  <c r="E44" i="6"/>
  <c r="A44" i="6"/>
  <c r="E16" i="6" s="1"/>
  <c r="W43" i="6"/>
  <c r="V43" i="6"/>
  <c r="U43" i="6"/>
  <c r="N43" i="6"/>
  <c r="M43" i="6"/>
  <c r="K43" i="6"/>
  <c r="I43" i="6"/>
  <c r="H43" i="6"/>
  <c r="F43" i="6"/>
  <c r="E43" i="6"/>
  <c r="A43" i="6"/>
  <c r="E27" i="6" s="1"/>
  <c r="W42" i="6"/>
  <c r="V42" i="6"/>
  <c r="U42" i="6"/>
  <c r="N42" i="6"/>
  <c r="M42" i="6"/>
  <c r="K42" i="6"/>
  <c r="I42" i="6"/>
  <c r="H42" i="6"/>
  <c r="F42" i="6"/>
  <c r="E42" i="6"/>
  <c r="T42" i="6" s="1"/>
  <c r="A42" i="6"/>
  <c r="H19" i="6" s="1"/>
  <c r="W41" i="6"/>
  <c r="V41" i="6"/>
  <c r="U41" i="6"/>
  <c r="N41" i="6"/>
  <c r="M41" i="6"/>
  <c r="K41" i="6"/>
  <c r="I41" i="6"/>
  <c r="H41" i="6"/>
  <c r="F41" i="6"/>
  <c r="E41" i="6"/>
  <c r="A41" i="6"/>
  <c r="E11" i="6" s="1"/>
  <c r="M38" i="6"/>
  <c r="M37" i="6"/>
  <c r="E37" i="6"/>
  <c r="M36" i="6"/>
  <c r="H36" i="6"/>
  <c r="M34" i="6"/>
  <c r="E34" i="6"/>
  <c r="M33" i="6"/>
  <c r="H33" i="6"/>
  <c r="M32" i="6"/>
  <c r="H32" i="6"/>
  <c r="M30" i="6"/>
  <c r="M29" i="6"/>
  <c r="H29" i="6"/>
  <c r="M27" i="6"/>
  <c r="M25" i="6"/>
  <c r="E25" i="6"/>
  <c r="M24" i="6"/>
  <c r="M23" i="6"/>
  <c r="E23" i="6"/>
  <c r="M21" i="6"/>
  <c r="E21" i="6"/>
  <c r="M20" i="6"/>
  <c r="M19" i="6"/>
  <c r="M17" i="6"/>
  <c r="M16" i="6"/>
  <c r="M15" i="6"/>
  <c r="E15" i="6"/>
  <c r="M13" i="6"/>
  <c r="M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O48" i="5" s="1" a="1"/>
  <c r="O48" i="5" s="1"/>
  <c r="E48" i="5"/>
  <c r="A48" i="5"/>
  <c r="E35" i="5" s="1"/>
  <c r="W47" i="5"/>
  <c r="V47" i="5"/>
  <c r="U47" i="5"/>
  <c r="N47" i="5"/>
  <c r="M47" i="5"/>
  <c r="K47" i="5"/>
  <c r="I47" i="5"/>
  <c r="H47" i="5"/>
  <c r="F47" i="5"/>
  <c r="E47" i="5"/>
  <c r="R47" i="5" s="1"/>
  <c r="A47" i="5"/>
  <c r="H25" i="5" s="1"/>
  <c r="W46" i="5"/>
  <c r="V46" i="5"/>
  <c r="U46" i="5"/>
  <c r="N46" i="5"/>
  <c r="M46" i="5"/>
  <c r="K46" i="5"/>
  <c r="I46" i="5"/>
  <c r="H46" i="5"/>
  <c r="F46" i="5"/>
  <c r="T46" i="5" s="1"/>
  <c r="E46" i="5"/>
  <c r="A46" i="5"/>
  <c r="E17" i="5" s="1"/>
  <c r="W45" i="5"/>
  <c r="V45" i="5"/>
  <c r="U45" i="5"/>
  <c r="N45" i="5"/>
  <c r="M45" i="5"/>
  <c r="K45" i="5"/>
  <c r="I45" i="5"/>
  <c r="H45" i="5"/>
  <c r="F45" i="5"/>
  <c r="E45" i="5"/>
  <c r="A45" i="5"/>
  <c r="E37" i="5" s="1"/>
  <c r="W44" i="5"/>
  <c r="V44" i="5"/>
  <c r="U44" i="5"/>
  <c r="N44" i="5"/>
  <c r="M44" i="5"/>
  <c r="K44" i="5"/>
  <c r="I44" i="5"/>
  <c r="H44" i="5"/>
  <c r="F44" i="5"/>
  <c r="E44" i="5"/>
  <c r="O44" i="5" s="1" a="1"/>
  <c r="O44" i="5" s="1"/>
  <c r="A44" i="5"/>
  <c r="H38" i="5" s="1"/>
  <c r="W43" i="5"/>
  <c r="V43" i="5"/>
  <c r="U43" i="5"/>
  <c r="N43" i="5"/>
  <c r="M43" i="5"/>
  <c r="K43" i="5"/>
  <c r="I43" i="5"/>
  <c r="H43" i="5"/>
  <c r="O43" i="5" s="1" a="1"/>
  <c r="O43" i="5" s="1"/>
  <c r="F43" i="5"/>
  <c r="E43" i="5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33" i="5" s="1"/>
  <c r="W41" i="5"/>
  <c r="V41" i="5"/>
  <c r="U41" i="5"/>
  <c r="N41" i="5"/>
  <c r="M41" i="5"/>
  <c r="K41" i="5"/>
  <c r="I41" i="5"/>
  <c r="H41" i="5"/>
  <c r="F41" i="5"/>
  <c r="E41" i="5"/>
  <c r="T41" i="5" s="1"/>
  <c r="A41" i="5"/>
  <c r="H29" i="5" s="1"/>
  <c r="M38" i="5"/>
  <c r="M37" i="5"/>
  <c r="M36" i="5"/>
  <c r="H36" i="5"/>
  <c r="M35" i="5"/>
  <c r="M34" i="5"/>
  <c r="H34" i="5"/>
  <c r="M33" i="5"/>
  <c r="H33" i="5"/>
  <c r="M32" i="5"/>
  <c r="M31" i="5"/>
  <c r="M30" i="5"/>
  <c r="E30" i="5"/>
  <c r="M29" i="5"/>
  <c r="M28" i="5"/>
  <c r="M27" i="5"/>
  <c r="E27" i="5"/>
  <c r="M26" i="5"/>
  <c r="H26" i="5"/>
  <c r="M25" i="5"/>
  <c r="M24" i="5"/>
  <c r="M23" i="5"/>
  <c r="E23" i="5"/>
  <c r="M22" i="5"/>
  <c r="M21" i="5"/>
  <c r="E21" i="5"/>
  <c r="M20" i="5"/>
  <c r="E20" i="5"/>
  <c r="M19" i="5"/>
  <c r="M18" i="5"/>
  <c r="M17" i="5"/>
  <c r="H17" i="5"/>
  <c r="M16" i="5"/>
  <c r="H16" i="5"/>
  <c r="M15" i="5"/>
  <c r="M14" i="5"/>
  <c r="E14" i="5"/>
  <c r="M13" i="5"/>
  <c r="E13" i="5"/>
  <c r="M12" i="5"/>
  <c r="E12" i="5"/>
  <c r="M11" i="5"/>
  <c r="E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R43" i="17" l="1"/>
  <c r="O43" i="17" a="1"/>
  <c r="O43" i="17" s="1"/>
  <c r="H20" i="6"/>
  <c r="T47" i="7"/>
  <c r="O48" i="7" a="1"/>
  <c r="O48" i="7" s="1"/>
  <c r="E17" i="8"/>
  <c r="Q42" i="8"/>
  <c r="T45" i="8"/>
  <c r="H15" i="9"/>
  <c r="E20" i="9"/>
  <c r="R47" i="9"/>
  <c r="E32" i="10"/>
  <c r="O48" i="16" a="1"/>
  <c r="O48" i="16" s="1"/>
  <c r="S48" i="19"/>
  <c r="O45" i="21" a="1"/>
  <c r="O45" i="21" s="1"/>
  <c r="T41" i="22"/>
  <c r="O41" i="22" a="1"/>
  <c r="O41" i="22" s="1"/>
  <c r="R43" i="23"/>
  <c r="T42" i="24"/>
  <c r="O42" i="24" a="1"/>
  <c r="O42" i="24" s="1"/>
  <c r="X42" i="24" s="1"/>
  <c r="O46" i="26" a="1"/>
  <c r="O46" i="26" s="1"/>
  <c r="H19" i="28"/>
  <c r="H11" i="28"/>
  <c r="E25" i="28"/>
  <c r="O44" i="28" a="1"/>
  <c r="O44" i="28" s="1"/>
  <c r="R47" i="29"/>
  <c r="S47" i="29"/>
  <c r="H21" i="6"/>
  <c r="S47" i="9"/>
  <c r="R41" i="6"/>
  <c r="O48" i="6" a="1"/>
  <c r="O48" i="6" s="1"/>
  <c r="E16" i="7"/>
  <c r="H12" i="5"/>
  <c r="E16" i="5"/>
  <c r="E19" i="5"/>
  <c r="H22" i="5"/>
  <c r="E26" i="5"/>
  <c r="E29" i="5"/>
  <c r="H32" i="5"/>
  <c r="E36" i="5"/>
  <c r="O42" i="5" a="1"/>
  <c r="O42" i="5" s="1"/>
  <c r="Q43" i="5"/>
  <c r="R46" i="5"/>
  <c r="H16" i="6"/>
  <c r="H25" i="6"/>
  <c r="E32" i="6"/>
  <c r="O42" i="6" a="1"/>
  <c r="O42" i="6" s="1"/>
  <c r="T48" i="6"/>
  <c r="H20" i="7"/>
  <c r="H31" i="7"/>
  <c r="Q41" i="7"/>
  <c r="R43" i="7"/>
  <c r="S48" i="7"/>
  <c r="E29" i="8"/>
  <c r="H33" i="8"/>
  <c r="S42" i="8"/>
  <c r="O46" i="8" a="1"/>
  <c r="O46" i="8" s="1"/>
  <c r="H38" i="9"/>
  <c r="S44" i="9"/>
  <c r="T45" i="9"/>
  <c r="Q47" i="9"/>
  <c r="H15" i="10"/>
  <c r="E20" i="10"/>
  <c r="T42" i="10"/>
  <c r="Q44" i="10"/>
  <c r="O41" i="11" a="1"/>
  <c r="O41" i="11" s="1"/>
  <c r="O44" i="12" a="1"/>
  <c r="O44" i="12" s="1"/>
  <c r="O44" i="15" a="1"/>
  <c r="O44" i="15" s="1"/>
  <c r="E38" i="15"/>
  <c r="H17" i="15"/>
  <c r="H21" i="15"/>
  <c r="H32" i="15"/>
  <c r="H25" i="15"/>
  <c r="O48" i="15" a="1"/>
  <c r="O48" i="15" s="1"/>
  <c r="Q43" i="16"/>
  <c r="T46" i="16"/>
  <c r="O46" i="16" a="1"/>
  <c r="O46" i="16" s="1"/>
  <c r="R41" i="18"/>
  <c r="O41" i="18" a="1"/>
  <c r="O41" i="18" s="1"/>
  <c r="R48" i="19"/>
  <c r="T41" i="23"/>
  <c r="O41" i="23" a="1"/>
  <c r="O41" i="23" s="1"/>
  <c r="X41" i="23" s="1"/>
  <c r="O41" i="25" a="1"/>
  <c r="O41" i="25" s="1"/>
  <c r="S43" i="25"/>
  <c r="T44" i="25"/>
  <c r="R46" i="25"/>
  <c r="O41" i="28" a="1"/>
  <c r="O41" i="28" s="1"/>
  <c r="H37" i="15"/>
  <c r="E15" i="15"/>
  <c r="H37" i="26"/>
  <c r="H11" i="26"/>
  <c r="E15" i="26"/>
  <c r="E30" i="26"/>
  <c r="H17" i="26"/>
  <c r="H21" i="26"/>
  <c r="H32" i="26"/>
  <c r="H25" i="26"/>
  <c r="T45" i="28"/>
  <c r="O45" i="28" a="1"/>
  <c r="O45" i="28" s="1"/>
  <c r="Q41" i="5"/>
  <c r="H34" i="15"/>
  <c r="E13" i="15"/>
  <c r="H16" i="15"/>
  <c r="H20" i="15"/>
  <c r="E16" i="19"/>
  <c r="E19" i="19"/>
  <c r="H38" i="19"/>
  <c r="H20" i="5"/>
  <c r="H30" i="5"/>
  <c r="Q45" i="5"/>
  <c r="S46" i="5"/>
  <c r="S48" i="5"/>
  <c r="E13" i="6"/>
  <c r="H38" i="6"/>
  <c r="O44" i="6" a="1"/>
  <c r="O44" i="6" s="1"/>
  <c r="T45" i="6"/>
  <c r="R47" i="6"/>
  <c r="E29" i="7"/>
  <c r="S44" i="7"/>
  <c r="H36" i="8"/>
  <c r="O42" i="8" a="1"/>
  <c r="O42" i="8" s="1"/>
  <c r="S48" i="8"/>
  <c r="H12" i="9"/>
  <c r="H36" i="9"/>
  <c r="T41" i="9"/>
  <c r="Q43" i="9"/>
  <c r="T46" i="9"/>
  <c r="R48" i="9"/>
  <c r="E12" i="10"/>
  <c r="S42" i="10"/>
  <c r="R42" i="11"/>
  <c r="R47" i="11"/>
  <c r="O48" i="13" a="1"/>
  <c r="O48" i="13" s="1"/>
  <c r="E28" i="14"/>
  <c r="E25" i="14"/>
  <c r="E33" i="14"/>
  <c r="T41" i="17"/>
  <c r="T41" i="21"/>
  <c r="O41" i="21" a="1"/>
  <c r="O41" i="21" s="1"/>
  <c r="E38" i="26"/>
  <c r="O46" i="30" a="1"/>
  <c r="O46" i="30" s="1"/>
  <c r="E36" i="21"/>
  <c r="H33" i="21"/>
  <c r="E17" i="21"/>
  <c r="E38" i="14"/>
  <c r="H32" i="14"/>
  <c r="H21" i="14"/>
  <c r="H17" i="14"/>
  <c r="E14" i="14"/>
  <c r="E30" i="14"/>
  <c r="H24" i="5"/>
  <c r="R42" i="5"/>
  <c r="O46" i="5" a="1"/>
  <c r="O46" i="5" s="1"/>
  <c r="O47" i="5" a="1"/>
  <c r="O47" i="5" s="1"/>
  <c r="E19" i="6"/>
  <c r="S45" i="6"/>
  <c r="S48" i="6"/>
  <c r="T42" i="7"/>
  <c r="O47" i="7" a="1"/>
  <c r="O47" i="7" s="1"/>
  <c r="T43" i="8"/>
  <c r="T44" i="8"/>
  <c r="T46" i="8"/>
  <c r="R41" i="9"/>
  <c r="T41" i="10"/>
  <c r="R43" i="10"/>
  <c r="T47" i="10"/>
  <c r="O48" i="10" a="1"/>
  <c r="O48" i="10" s="1"/>
  <c r="S42" i="11"/>
  <c r="T45" i="11"/>
  <c r="T46" i="11"/>
  <c r="Q47" i="11"/>
  <c r="O45" i="12" a="1"/>
  <c r="O45" i="12" s="1"/>
  <c r="E17" i="12"/>
  <c r="H33" i="12"/>
  <c r="H11" i="15"/>
  <c r="R45" i="18"/>
  <c r="O45" i="18" a="1"/>
  <c r="O45" i="18" s="1"/>
  <c r="T42" i="20"/>
  <c r="O47" i="20" a="1"/>
  <c r="O47" i="20" s="1"/>
  <c r="S43" i="21"/>
  <c r="E32" i="22"/>
  <c r="E12" i="22"/>
  <c r="O48" i="22" a="1"/>
  <c r="O48" i="22" s="1"/>
  <c r="X48" i="22" s="1"/>
  <c r="O45" i="23" a="1"/>
  <c r="O45" i="23" s="1"/>
  <c r="X45" i="23" s="1"/>
  <c r="E25" i="26"/>
  <c r="E20" i="27"/>
  <c r="H15" i="27"/>
  <c r="H23" i="27"/>
  <c r="E11" i="30"/>
  <c r="H36" i="30"/>
  <c r="R43" i="30"/>
  <c r="S43" i="30"/>
  <c r="T46" i="19"/>
  <c r="O46" i="19" a="1"/>
  <c r="O46" i="19" s="1"/>
  <c r="H17" i="6"/>
  <c r="T46" i="17"/>
  <c r="R46" i="17"/>
  <c r="H13" i="21"/>
  <c r="H14" i="5"/>
  <c r="E18" i="5"/>
  <c r="E28" i="5"/>
  <c r="E31" i="5"/>
  <c r="E38" i="5"/>
  <c r="S42" i="5"/>
  <c r="T45" i="5"/>
  <c r="Q47" i="5"/>
  <c r="E30" i="6"/>
  <c r="E19" i="7"/>
  <c r="H38" i="7"/>
  <c r="R45" i="7"/>
  <c r="R47" i="7"/>
  <c r="S44" i="8"/>
  <c r="S46" i="8"/>
  <c r="E37" i="9"/>
  <c r="O43" i="9" a="1"/>
  <c r="O43" i="9" s="1"/>
  <c r="T48" i="9"/>
  <c r="O42" i="10" a="1"/>
  <c r="O42" i="10" s="1"/>
  <c r="E11" i="12"/>
  <c r="E23" i="12"/>
  <c r="Q43" i="12"/>
  <c r="S45" i="12"/>
  <c r="O42" i="13" a="1"/>
  <c r="O42" i="13" s="1"/>
  <c r="X48" i="13" s="1"/>
  <c r="E19" i="13"/>
  <c r="H38" i="13"/>
  <c r="E29" i="13"/>
  <c r="H24" i="13"/>
  <c r="E16" i="13"/>
  <c r="T45" i="14"/>
  <c r="O45" i="14" a="1"/>
  <c r="O45" i="14" s="1"/>
  <c r="E25" i="15"/>
  <c r="E27" i="18"/>
  <c r="E20" i="18"/>
  <c r="H15" i="18"/>
  <c r="E32" i="18"/>
  <c r="E12" i="18"/>
  <c r="Q44" i="18"/>
  <c r="T47" i="18"/>
  <c r="T42" i="19"/>
  <c r="O42" i="19" a="1"/>
  <c r="O42" i="19" s="1"/>
  <c r="Q48" i="23"/>
  <c r="H32" i="24"/>
  <c r="E30" i="24"/>
  <c r="H21" i="24"/>
  <c r="S48" i="24"/>
  <c r="S48" i="26"/>
  <c r="E27" i="27"/>
  <c r="T43" i="29"/>
  <c r="S43" i="7"/>
  <c r="E12" i="9"/>
  <c r="H19" i="16"/>
  <c r="H11" i="16"/>
  <c r="E25" i="16"/>
  <c r="E15" i="16"/>
  <c r="H18" i="5"/>
  <c r="H21" i="5"/>
  <c r="H28" i="5"/>
  <c r="H31" i="5"/>
  <c r="S45" i="5"/>
  <c r="T47" i="5"/>
  <c r="H15" i="6"/>
  <c r="E20" i="6"/>
  <c r="H30" i="6"/>
  <c r="T41" i="6"/>
  <c r="R43" i="6"/>
  <c r="T46" i="6"/>
  <c r="Q48" i="6"/>
  <c r="E23" i="7"/>
  <c r="O46" i="7" a="1"/>
  <c r="O46" i="7" s="1"/>
  <c r="E12" i="8"/>
  <c r="H21" i="8"/>
  <c r="T42" i="8"/>
  <c r="O45" i="8" a="1"/>
  <c r="O45" i="8" s="1"/>
  <c r="R47" i="8"/>
  <c r="E15" i="9"/>
  <c r="E25" i="9"/>
  <c r="E32" i="9"/>
  <c r="T42" i="9"/>
  <c r="O44" i="9" a="1"/>
  <c r="O44" i="9" s="1"/>
  <c r="T43" i="10"/>
  <c r="T46" i="10"/>
  <c r="H20" i="11"/>
  <c r="S48" i="16"/>
  <c r="S45" i="22"/>
  <c r="E36" i="23"/>
  <c r="H33" i="23"/>
  <c r="H13" i="23"/>
  <c r="E17" i="23"/>
  <c r="R48" i="23"/>
  <c r="O44" i="24" a="1"/>
  <c r="O44" i="24" s="1"/>
  <c r="X44" i="24" s="1"/>
  <c r="E12" i="27"/>
  <c r="E30" i="28"/>
  <c r="H17" i="28"/>
  <c r="H21" i="28"/>
  <c r="E38" i="28"/>
  <c r="H32" i="28"/>
  <c r="Q48" i="10"/>
  <c r="H23" i="11"/>
  <c r="E27" i="11"/>
  <c r="R44" i="11"/>
  <c r="T41" i="12"/>
  <c r="T46" i="12"/>
  <c r="S48" i="12"/>
  <c r="H23" i="13"/>
  <c r="E27" i="13"/>
  <c r="R41" i="13"/>
  <c r="Q43" i="13"/>
  <c r="T47" i="13"/>
  <c r="T42" i="14"/>
  <c r="S46" i="14"/>
  <c r="R42" i="15"/>
  <c r="S46" i="15"/>
  <c r="T41" i="16"/>
  <c r="H12" i="17"/>
  <c r="E29" i="17"/>
  <c r="O47" i="17" a="1"/>
  <c r="O47" i="17" s="1"/>
  <c r="O48" i="17" a="1"/>
  <c r="O48" i="17" s="1"/>
  <c r="E17" i="18"/>
  <c r="E29" i="18"/>
  <c r="H33" i="18"/>
  <c r="O46" i="18" a="1"/>
  <c r="O46" i="18" s="1"/>
  <c r="H16" i="19"/>
  <c r="E37" i="19"/>
  <c r="H12" i="20"/>
  <c r="O44" i="20" a="1"/>
  <c r="O44" i="20" s="1"/>
  <c r="Q41" i="21"/>
  <c r="O42" i="21" a="1"/>
  <c r="O42" i="21" s="1"/>
  <c r="T46" i="21"/>
  <c r="R43" i="22"/>
  <c r="H11" i="23"/>
  <c r="E30" i="23"/>
  <c r="O42" i="23" a="1"/>
  <c r="O42" i="23" s="1"/>
  <c r="X42" i="23" s="1"/>
  <c r="T46" i="23"/>
  <c r="E25" i="24"/>
  <c r="E32" i="24"/>
  <c r="O44" i="25" a="1"/>
  <c r="O44" i="25" s="1"/>
  <c r="T42" i="26"/>
  <c r="O44" i="26" a="1"/>
  <c r="O44" i="26" s="1"/>
  <c r="T48" i="26"/>
  <c r="T45" i="27"/>
  <c r="Q47" i="27"/>
  <c r="T42" i="28"/>
  <c r="R47" i="28"/>
  <c r="O44" i="29" a="1"/>
  <c r="O44" i="29" s="1"/>
  <c r="R45" i="30"/>
  <c r="R47" i="30"/>
  <c r="T43" i="13"/>
  <c r="T46" i="13"/>
  <c r="S48" i="13"/>
  <c r="R45" i="14"/>
  <c r="O41" i="15" a="1"/>
  <c r="O41" i="15" s="1"/>
  <c r="T45" i="15"/>
  <c r="T42" i="16"/>
  <c r="O44" i="16" a="1"/>
  <c r="O44" i="16" s="1"/>
  <c r="S46" i="16"/>
  <c r="T43" i="17"/>
  <c r="Q46" i="17"/>
  <c r="O42" i="18" a="1"/>
  <c r="O42" i="18" s="1"/>
  <c r="O48" i="18" a="1"/>
  <c r="O48" i="18" s="1"/>
  <c r="T45" i="20"/>
  <c r="R47" i="20"/>
  <c r="O44" i="21" a="1"/>
  <c r="O44" i="21" s="1"/>
  <c r="Q41" i="22"/>
  <c r="T46" i="22"/>
  <c r="T48" i="22"/>
  <c r="Q44" i="23"/>
  <c r="S45" i="24"/>
  <c r="R42" i="25"/>
  <c r="T45" i="25"/>
  <c r="Q47" i="25"/>
  <c r="R47" i="26"/>
  <c r="R43" i="27"/>
  <c r="S47" i="27"/>
  <c r="O48" i="27" a="1"/>
  <c r="O48" i="27" s="1"/>
  <c r="X48" i="27" s="1"/>
  <c r="S45" i="28"/>
  <c r="O46" i="28" a="1"/>
  <c r="O46" i="28" s="1"/>
  <c r="Q42" i="29"/>
  <c r="T45" i="29"/>
  <c r="Q47" i="29"/>
  <c r="R41" i="30"/>
  <c r="Q43" i="30"/>
  <c r="T47" i="30"/>
  <c r="O48" i="30" a="1"/>
  <c r="O48" i="30" s="1"/>
  <c r="X48" i="30" s="1"/>
  <c r="O46" i="11" a="1"/>
  <c r="O46" i="11" s="1"/>
  <c r="O47" i="11" a="1"/>
  <c r="O47" i="11" s="1"/>
  <c r="S41" i="12"/>
  <c r="T42" i="12"/>
  <c r="R47" i="12"/>
  <c r="E32" i="13"/>
  <c r="T44" i="13"/>
  <c r="E27" i="14"/>
  <c r="S42" i="14"/>
  <c r="S47" i="14"/>
  <c r="E12" i="15"/>
  <c r="O42" i="15" a="1"/>
  <c r="O42" i="15" s="1"/>
  <c r="R45" i="15"/>
  <c r="T48" i="15"/>
  <c r="E38" i="16"/>
  <c r="R47" i="16"/>
  <c r="H36" i="17"/>
  <c r="E19" i="18"/>
  <c r="T43" i="18"/>
  <c r="T46" i="18"/>
  <c r="E13" i="19"/>
  <c r="T44" i="19"/>
  <c r="T45" i="19"/>
  <c r="O47" i="19" a="1"/>
  <c r="O47" i="19" s="1"/>
  <c r="E29" i="20"/>
  <c r="O46" i="20" a="1"/>
  <c r="O46" i="20" s="1"/>
  <c r="E25" i="21"/>
  <c r="E38" i="21"/>
  <c r="T42" i="21"/>
  <c r="S46" i="21"/>
  <c r="R47" i="21"/>
  <c r="S43" i="22"/>
  <c r="Q46" i="22"/>
  <c r="H21" i="23"/>
  <c r="H32" i="23"/>
  <c r="E38" i="23"/>
  <c r="T42" i="23"/>
  <c r="O47" i="23" a="1"/>
  <c r="O47" i="23" s="1"/>
  <c r="X47" i="23" s="1"/>
  <c r="H15" i="24"/>
  <c r="Q47" i="24"/>
  <c r="O46" i="25" a="1"/>
  <c r="O46" i="25" s="1"/>
  <c r="T45" i="26"/>
  <c r="Q47" i="26"/>
  <c r="T41" i="27"/>
  <c r="Q43" i="27"/>
  <c r="T46" i="27"/>
  <c r="T48" i="27"/>
  <c r="R43" i="28"/>
  <c r="S47" i="28"/>
  <c r="O48" i="28" a="1"/>
  <c r="O48" i="28" s="1"/>
  <c r="X48" i="28" s="1"/>
  <c r="O46" i="29" a="1"/>
  <c r="O46" i="29" s="1"/>
  <c r="O42" i="30" a="1"/>
  <c r="O42" i="30" s="1"/>
  <c r="Q48" i="30"/>
  <c r="O47" i="10" a="1"/>
  <c r="O47" i="10" s="1"/>
  <c r="T47" i="11"/>
  <c r="O48" i="11" a="1"/>
  <c r="O48" i="11" s="1"/>
  <c r="H17" i="12"/>
  <c r="H25" i="12"/>
  <c r="S42" i="12"/>
  <c r="T45" i="12"/>
  <c r="Q47" i="12"/>
  <c r="T42" i="13"/>
  <c r="E31" i="14"/>
  <c r="E35" i="14"/>
  <c r="T41" i="14"/>
  <c r="R43" i="14"/>
  <c r="S45" i="14"/>
  <c r="O48" i="14" a="1"/>
  <c r="O48" i="14" s="1"/>
  <c r="Q43" i="15"/>
  <c r="E17" i="16"/>
  <c r="H33" i="16"/>
  <c r="S44" i="16"/>
  <c r="Q47" i="16"/>
  <c r="S41" i="17"/>
  <c r="T42" i="17"/>
  <c r="O44" i="17" a="1"/>
  <c r="O44" i="17" s="1"/>
  <c r="O44" i="18" a="1"/>
  <c r="O44" i="18" s="1"/>
  <c r="H30" i="19"/>
  <c r="S42" i="19"/>
  <c r="R45" i="19"/>
  <c r="R47" i="19"/>
  <c r="E19" i="20"/>
  <c r="R43" i="20"/>
  <c r="T47" i="20"/>
  <c r="O48" i="20" a="1"/>
  <c r="O48" i="20" s="1"/>
  <c r="X48" i="20" s="1"/>
  <c r="H25" i="21"/>
  <c r="H32" i="21"/>
  <c r="Q42" i="21"/>
  <c r="T45" i="21"/>
  <c r="Q47" i="21"/>
  <c r="S41" i="22"/>
  <c r="O44" i="22" a="1"/>
  <c r="O44" i="22" s="1"/>
  <c r="T45" i="23"/>
  <c r="R47" i="23"/>
  <c r="T41" i="24"/>
  <c r="R43" i="24"/>
  <c r="T46" i="24"/>
  <c r="O48" i="24" a="1"/>
  <c r="O48" i="24" s="1"/>
  <c r="X48" i="24" s="1"/>
  <c r="H12" i="25"/>
  <c r="E29" i="25"/>
  <c r="S42" i="25"/>
  <c r="R43" i="25"/>
  <c r="S47" i="25"/>
  <c r="O48" i="25" a="1"/>
  <c r="O48" i="25" s="1"/>
  <c r="X48" i="25" s="1"/>
  <c r="R43" i="26"/>
  <c r="R45" i="26"/>
  <c r="Q41" i="27"/>
  <c r="O42" i="27" a="1"/>
  <c r="O42" i="27" s="1"/>
  <c r="E12" i="28"/>
  <c r="T41" i="28"/>
  <c r="Q43" i="28"/>
  <c r="T48" i="28"/>
  <c r="S42" i="29"/>
  <c r="R43" i="29"/>
  <c r="T47" i="29"/>
  <c r="T43" i="30"/>
  <c r="T46" i="30"/>
  <c r="T45" i="10"/>
  <c r="R47" i="10"/>
  <c r="T41" i="11"/>
  <c r="T42" i="11"/>
  <c r="Q43" i="11"/>
  <c r="R48" i="11"/>
  <c r="R45" i="12"/>
  <c r="O47" i="13" a="1"/>
  <c r="O47" i="13" s="1"/>
  <c r="H14" i="14"/>
  <c r="R41" i="14"/>
  <c r="T46" i="14"/>
  <c r="T41" i="15"/>
  <c r="R46" i="15"/>
  <c r="S42" i="16"/>
  <c r="T45" i="16"/>
  <c r="R42" i="17"/>
  <c r="R47" i="17"/>
  <c r="T42" i="18"/>
  <c r="R43" i="19"/>
  <c r="T41" i="20"/>
  <c r="Q43" i="20"/>
  <c r="R48" i="20"/>
  <c r="Q45" i="21"/>
  <c r="O46" i="21" a="1"/>
  <c r="O46" i="21" s="1"/>
  <c r="E16" i="22"/>
  <c r="T42" i="22"/>
  <c r="R47" i="22"/>
  <c r="E33" i="23"/>
  <c r="O46" i="23" a="1"/>
  <c r="O46" i="23" s="1"/>
  <c r="X46" i="23" s="1"/>
  <c r="H36" i="24"/>
  <c r="Q41" i="24"/>
  <c r="H24" i="25"/>
  <c r="T41" i="25"/>
  <c r="Q43" i="25"/>
  <c r="Q48" i="25"/>
  <c r="T41" i="26"/>
  <c r="Q43" i="26"/>
  <c r="S47" i="26"/>
  <c r="S43" i="27"/>
  <c r="H36" i="28"/>
  <c r="Q41" i="28"/>
  <c r="O42" i="28" a="1"/>
  <c r="O42" i="28" s="1"/>
  <c r="T46" i="28"/>
  <c r="Q41" i="29"/>
  <c r="Q43" i="29"/>
  <c r="E20" i="30"/>
  <c r="O46" i="10" a="1"/>
  <c r="O46" i="10" s="1"/>
  <c r="O42" i="11" a="1"/>
  <c r="O42" i="11" s="1"/>
  <c r="R43" i="11"/>
  <c r="R46" i="11"/>
  <c r="O41" i="12" a="1"/>
  <c r="O41" i="12" s="1"/>
  <c r="R43" i="12"/>
  <c r="O47" i="12" a="1"/>
  <c r="O47" i="12" s="1"/>
  <c r="T45" i="13"/>
  <c r="R47" i="13"/>
  <c r="E18" i="14"/>
  <c r="S43" i="14"/>
  <c r="Q46" i="14"/>
  <c r="Q41" i="15"/>
  <c r="Q44" i="15"/>
  <c r="R43" i="16"/>
  <c r="S47" i="16"/>
  <c r="E16" i="17"/>
  <c r="T45" i="17"/>
  <c r="H38" i="18"/>
  <c r="T41" i="19"/>
  <c r="O43" i="19" a="1"/>
  <c r="O43" i="19" s="1"/>
  <c r="Q48" i="19"/>
  <c r="O42" i="20" a="1"/>
  <c r="O42" i="20" s="1"/>
  <c r="T46" i="20"/>
  <c r="S42" i="21"/>
  <c r="R43" i="21"/>
  <c r="S47" i="21"/>
  <c r="O48" i="21" a="1"/>
  <c r="O48" i="21" s="1"/>
  <c r="X48" i="21" s="1"/>
  <c r="Q42" i="22"/>
  <c r="T45" i="22"/>
  <c r="Q47" i="22"/>
  <c r="S47" i="23"/>
  <c r="O48" i="23" a="1"/>
  <c r="O48" i="23" s="1"/>
  <c r="X48" i="23" s="1"/>
  <c r="S43" i="24"/>
  <c r="T48" i="24"/>
  <c r="O42" i="25" a="1"/>
  <c r="O42" i="25" s="1"/>
  <c r="T46" i="25"/>
  <c r="R41" i="26"/>
  <c r="T46" i="26"/>
  <c r="O48" i="26" a="1"/>
  <c r="O48" i="26" s="1"/>
  <c r="X48" i="26" s="1"/>
  <c r="O44" i="27" a="1"/>
  <c r="O44" i="27" s="1"/>
  <c r="O43" i="28" a="1"/>
  <c r="O43" i="28" s="1"/>
  <c r="Q46" i="28"/>
  <c r="O42" i="29" a="1"/>
  <c r="O42" i="29" s="1"/>
  <c r="T46" i="29"/>
  <c r="R48" i="29"/>
  <c r="T42" i="30"/>
  <c r="O44" i="30" a="1"/>
  <c r="O44" i="30" s="1"/>
  <c r="E21" i="30"/>
  <c r="H29" i="30"/>
  <c r="R44" i="30"/>
  <c r="R48" i="30"/>
  <c r="E37" i="30"/>
  <c r="Q41" i="30"/>
  <c r="S44" i="30"/>
  <c r="H37" i="30"/>
  <c r="T48" i="30"/>
  <c r="E23" i="30"/>
  <c r="H30" i="30"/>
  <c r="E34" i="30"/>
  <c r="S41" i="30"/>
  <c r="Q42" i="30"/>
  <c r="O43" i="30" a="1"/>
  <c r="O43" i="30" s="1"/>
  <c r="S45" i="30"/>
  <c r="Q46" i="30"/>
  <c r="H23" i="30"/>
  <c r="H34" i="30"/>
  <c r="T41" i="30"/>
  <c r="R42" i="30"/>
  <c r="T45" i="30"/>
  <c r="R46" i="30"/>
  <c r="Q44" i="30"/>
  <c r="S47" i="30"/>
  <c r="Q45" i="30"/>
  <c r="S48" i="30"/>
  <c r="T44" i="30"/>
  <c r="H16" i="30"/>
  <c r="H27" i="30"/>
  <c r="S42" i="30"/>
  <c r="S46" i="30"/>
  <c r="Q47" i="30"/>
  <c r="E13" i="30"/>
  <c r="E24" i="30"/>
  <c r="Q48" i="29"/>
  <c r="Q45" i="29"/>
  <c r="S48" i="29"/>
  <c r="H37" i="29"/>
  <c r="R41" i="29"/>
  <c r="T44" i="29"/>
  <c r="R45" i="29"/>
  <c r="T48" i="29"/>
  <c r="H36" i="29"/>
  <c r="Q44" i="29"/>
  <c r="E11" i="29"/>
  <c r="R44" i="29"/>
  <c r="E37" i="29"/>
  <c r="E23" i="29"/>
  <c r="H30" i="29"/>
  <c r="E34" i="29"/>
  <c r="S41" i="29"/>
  <c r="O43" i="29" a="1"/>
  <c r="O43" i="29" s="1"/>
  <c r="S45" i="29"/>
  <c r="Q46" i="29"/>
  <c r="O47" i="29" a="1"/>
  <c r="O47" i="29" s="1"/>
  <c r="H12" i="29"/>
  <c r="H23" i="29"/>
  <c r="H34" i="29"/>
  <c r="T41" i="29"/>
  <c r="R42" i="29"/>
  <c r="R46" i="29"/>
  <c r="S44" i="29"/>
  <c r="H16" i="29"/>
  <c r="H27" i="29"/>
  <c r="O48" i="29" a="1"/>
  <c r="O48" i="29" s="1"/>
  <c r="X48" i="29" s="1"/>
  <c r="S43" i="29"/>
  <c r="E21" i="29"/>
  <c r="E13" i="29"/>
  <c r="E24" i="29"/>
  <c r="S43" i="28"/>
  <c r="Q44" i="28"/>
  <c r="Q48" i="28"/>
  <c r="E11" i="28"/>
  <c r="E21" i="28"/>
  <c r="H29" i="28"/>
  <c r="E33" i="28"/>
  <c r="T43" i="28"/>
  <c r="R44" i="28"/>
  <c r="T47" i="28"/>
  <c r="R48" i="28"/>
  <c r="S44" i="28"/>
  <c r="Q45" i="28"/>
  <c r="S48" i="28"/>
  <c r="H15" i="28"/>
  <c r="H37" i="28"/>
  <c r="R41" i="28"/>
  <c r="T44" i="28"/>
  <c r="R45" i="28"/>
  <c r="E23" i="28"/>
  <c r="H30" i="28"/>
  <c r="S41" i="28"/>
  <c r="Q42" i="28"/>
  <c r="O47" i="28" a="1"/>
  <c r="O47" i="28" s="1"/>
  <c r="X47" i="28" s="1"/>
  <c r="H23" i="28"/>
  <c r="E27" i="28"/>
  <c r="H34" i="28"/>
  <c r="R42" i="28"/>
  <c r="R46" i="28"/>
  <c r="H16" i="28"/>
  <c r="E20" i="28"/>
  <c r="H27" i="28"/>
  <c r="S46" i="28"/>
  <c r="E37" i="28"/>
  <c r="E13" i="28"/>
  <c r="E24" i="28"/>
  <c r="Q44" i="27"/>
  <c r="O45" i="27" a="1"/>
  <c r="O45" i="27" s="1"/>
  <c r="X45" i="27" s="1"/>
  <c r="Q48" i="27"/>
  <c r="E11" i="27"/>
  <c r="E21" i="27"/>
  <c r="H29" i="27"/>
  <c r="E33" i="27"/>
  <c r="T43" i="27"/>
  <c r="R44" i="27"/>
  <c r="T47" i="27"/>
  <c r="R48" i="27"/>
  <c r="H37" i="27"/>
  <c r="R41" i="27"/>
  <c r="T44" i="27"/>
  <c r="R45" i="27"/>
  <c r="S44" i="27"/>
  <c r="E23" i="27"/>
  <c r="H30" i="27"/>
  <c r="E34" i="27"/>
  <c r="S41" i="27"/>
  <c r="Q42" i="27"/>
  <c r="O43" i="27" a="1"/>
  <c r="O43" i="27" s="1"/>
  <c r="S45" i="27"/>
  <c r="Q46" i="27"/>
  <c r="O47" i="27" a="1"/>
  <c r="O47" i="27" s="1"/>
  <c r="H34" i="27"/>
  <c r="R42" i="27"/>
  <c r="R46" i="27"/>
  <c r="E37" i="27"/>
  <c r="H16" i="27"/>
  <c r="H27" i="27"/>
  <c r="S42" i="27"/>
  <c r="S46" i="27"/>
  <c r="E13" i="27"/>
  <c r="E24" i="27"/>
  <c r="H13" i="26"/>
  <c r="E17" i="26"/>
  <c r="O41" i="26" a="1"/>
  <c r="O41" i="26" s="1"/>
  <c r="Q44" i="26"/>
  <c r="O45" i="26" a="1"/>
  <c r="O45" i="26" s="1"/>
  <c r="Q48" i="26"/>
  <c r="E11" i="26"/>
  <c r="E21" i="26"/>
  <c r="H29" i="26"/>
  <c r="E33" i="26"/>
  <c r="T43" i="26"/>
  <c r="R44" i="26"/>
  <c r="T47" i="26"/>
  <c r="R48" i="26"/>
  <c r="Q41" i="26"/>
  <c r="H19" i="26"/>
  <c r="E23" i="26"/>
  <c r="H30" i="26"/>
  <c r="S41" i="26"/>
  <c r="Q42" i="26"/>
  <c r="O43" i="26" a="1"/>
  <c r="O43" i="26" s="1"/>
  <c r="S45" i="26"/>
  <c r="Q46" i="26"/>
  <c r="O47" i="26" a="1"/>
  <c r="O47" i="26" s="1"/>
  <c r="Q45" i="26"/>
  <c r="T44" i="26"/>
  <c r="H12" i="26"/>
  <c r="H23" i="26"/>
  <c r="H34" i="26"/>
  <c r="R42" i="26"/>
  <c r="R46" i="26"/>
  <c r="H16" i="26"/>
  <c r="H27" i="26"/>
  <c r="S42" i="26"/>
  <c r="S46" i="26"/>
  <c r="E13" i="26"/>
  <c r="E24" i="26"/>
  <c r="Q44" i="25"/>
  <c r="T43" i="25"/>
  <c r="R44" i="25"/>
  <c r="R48" i="25"/>
  <c r="E37" i="25"/>
  <c r="Q45" i="25"/>
  <c r="S48" i="25"/>
  <c r="E19" i="25"/>
  <c r="H37" i="25"/>
  <c r="R41" i="25"/>
  <c r="R45" i="25"/>
  <c r="T48" i="25"/>
  <c r="H36" i="25"/>
  <c r="T47" i="25"/>
  <c r="Q41" i="25"/>
  <c r="E23" i="25"/>
  <c r="H30" i="25"/>
  <c r="E34" i="25"/>
  <c r="S41" i="25"/>
  <c r="Q42" i="25"/>
  <c r="O43" i="25" a="1"/>
  <c r="O43" i="25" s="1"/>
  <c r="S45" i="25"/>
  <c r="Q46" i="25"/>
  <c r="O47" i="25" a="1"/>
  <c r="O47" i="25" s="1"/>
  <c r="E11" i="25"/>
  <c r="E21" i="25"/>
  <c r="S44" i="25"/>
  <c r="H34" i="25"/>
  <c r="H16" i="25"/>
  <c r="H27" i="25"/>
  <c r="E13" i="25"/>
  <c r="E24" i="25"/>
  <c r="H13" i="24"/>
  <c r="E17" i="24"/>
  <c r="O41" i="24" a="1"/>
  <c r="O41" i="24" s="1"/>
  <c r="X41" i="24" s="1"/>
  <c r="Q44" i="24"/>
  <c r="O45" i="24" a="1"/>
  <c r="O45" i="24" s="1"/>
  <c r="X45" i="24" s="1"/>
  <c r="S47" i="24"/>
  <c r="Q48" i="24"/>
  <c r="E11" i="24"/>
  <c r="H17" i="24"/>
  <c r="E21" i="24"/>
  <c r="H29" i="24"/>
  <c r="E33" i="24"/>
  <c r="T43" i="24"/>
  <c r="R44" i="24"/>
  <c r="T47" i="24"/>
  <c r="R48" i="24"/>
  <c r="Q45" i="24"/>
  <c r="H37" i="24"/>
  <c r="R45" i="24"/>
  <c r="E12" i="24"/>
  <c r="E23" i="24"/>
  <c r="H30" i="24"/>
  <c r="S41" i="24"/>
  <c r="Q42" i="24"/>
  <c r="O43" i="24" a="1"/>
  <c r="O43" i="24" s="1"/>
  <c r="X43" i="24" s="1"/>
  <c r="Q46" i="24"/>
  <c r="O47" i="24" a="1"/>
  <c r="O47" i="24" s="1"/>
  <c r="X47" i="24" s="1"/>
  <c r="R41" i="24"/>
  <c r="T44" i="24"/>
  <c r="H12" i="24"/>
  <c r="H23" i="24"/>
  <c r="H34" i="24"/>
  <c r="E38" i="24"/>
  <c r="R42" i="24"/>
  <c r="R46" i="24"/>
  <c r="H16" i="24"/>
  <c r="S42" i="24"/>
  <c r="Q43" i="24"/>
  <c r="S46" i="24"/>
  <c r="H27" i="24"/>
  <c r="E13" i="24"/>
  <c r="E24" i="24"/>
  <c r="H36" i="23"/>
  <c r="E11" i="23"/>
  <c r="E21" i="23"/>
  <c r="T47" i="23"/>
  <c r="S44" i="23"/>
  <c r="S48" i="23"/>
  <c r="H37" i="23"/>
  <c r="R41" i="23"/>
  <c r="T44" i="23"/>
  <c r="R45" i="23"/>
  <c r="T48" i="23"/>
  <c r="S43" i="23"/>
  <c r="E23" i="23"/>
  <c r="H30" i="23"/>
  <c r="E34" i="23"/>
  <c r="S41" i="23"/>
  <c r="Q42" i="23"/>
  <c r="O43" i="23" a="1"/>
  <c r="O43" i="23" s="1"/>
  <c r="X43" i="23" s="1"/>
  <c r="S45" i="23"/>
  <c r="Q46" i="23"/>
  <c r="R44" i="23"/>
  <c r="E37" i="23"/>
  <c r="Q41" i="23"/>
  <c r="Q45" i="23"/>
  <c r="H34" i="23"/>
  <c r="R42" i="23"/>
  <c r="R46" i="23"/>
  <c r="H16" i="23"/>
  <c r="H27" i="23"/>
  <c r="S42" i="23"/>
  <c r="Q43" i="23"/>
  <c r="O44" i="23" a="1"/>
  <c r="O44" i="23" s="1"/>
  <c r="X44" i="23" s="1"/>
  <c r="S46" i="23"/>
  <c r="Q47" i="23"/>
  <c r="E13" i="23"/>
  <c r="E24" i="23"/>
  <c r="Q48" i="22"/>
  <c r="E11" i="22"/>
  <c r="E21" i="22"/>
  <c r="H29" i="22"/>
  <c r="E33" i="22"/>
  <c r="T43" i="22"/>
  <c r="R44" i="22"/>
  <c r="T47" i="22"/>
  <c r="R48" i="22"/>
  <c r="Q44" i="22"/>
  <c r="E37" i="22"/>
  <c r="O42" i="22" a="1"/>
  <c r="O42" i="22" s="1"/>
  <c r="S44" i="22"/>
  <c r="O46" i="22" a="1"/>
  <c r="O46" i="22" s="1"/>
  <c r="S48" i="22"/>
  <c r="H15" i="22"/>
  <c r="R41" i="22"/>
  <c r="T44" i="22"/>
  <c r="R45" i="22"/>
  <c r="E23" i="22"/>
  <c r="H30" i="22"/>
  <c r="E34" i="22"/>
  <c r="O43" i="22" a="1"/>
  <c r="O43" i="22" s="1"/>
  <c r="O47" i="22" a="1"/>
  <c r="O47" i="22" s="1"/>
  <c r="H23" i="22"/>
  <c r="E27" i="22"/>
  <c r="H34" i="22"/>
  <c r="R42" i="22"/>
  <c r="R46" i="22"/>
  <c r="H16" i="22"/>
  <c r="E20" i="22"/>
  <c r="S42" i="22"/>
  <c r="S46" i="22"/>
  <c r="E13" i="22"/>
  <c r="Q44" i="21"/>
  <c r="Q48" i="21"/>
  <c r="E11" i="21"/>
  <c r="E21" i="21"/>
  <c r="H29" i="21"/>
  <c r="E33" i="21"/>
  <c r="T43" i="21"/>
  <c r="R44" i="21"/>
  <c r="T47" i="21"/>
  <c r="R48" i="21"/>
  <c r="S44" i="21"/>
  <c r="S48" i="21"/>
  <c r="H37" i="21"/>
  <c r="R41" i="21"/>
  <c r="T44" i="21"/>
  <c r="R45" i="21"/>
  <c r="E23" i="21"/>
  <c r="H30" i="21"/>
  <c r="E34" i="21"/>
  <c r="S41" i="21"/>
  <c r="O43" i="21" a="1"/>
  <c r="O43" i="21" s="1"/>
  <c r="S45" i="21"/>
  <c r="Q46" i="21"/>
  <c r="O47" i="21" a="1"/>
  <c r="O47" i="21" s="1"/>
  <c r="E37" i="21"/>
  <c r="H34" i="21"/>
  <c r="R42" i="21"/>
  <c r="R46" i="21"/>
  <c r="H16" i="21"/>
  <c r="H27" i="21"/>
  <c r="E13" i="21"/>
  <c r="E24" i="21"/>
  <c r="T43" i="20"/>
  <c r="E37" i="20"/>
  <c r="Q41" i="20"/>
  <c r="S44" i="20"/>
  <c r="Q45" i="20"/>
  <c r="S48" i="20"/>
  <c r="H37" i="20"/>
  <c r="R41" i="20"/>
  <c r="T44" i="20"/>
  <c r="R45" i="20"/>
  <c r="T48" i="20"/>
  <c r="Q44" i="20"/>
  <c r="Q48" i="20"/>
  <c r="R44" i="20"/>
  <c r="E23" i="20"/>
  <c r="H30" i="20"/>
  <c r="E34" i="20"/>
  <c r="S41" i="20"/>
  <c r="Q42" i="20"/>
  <c r="O43" i="20" a="1"/>
  <c r="O43" i="20" s="1"/>
  <c r="X43" i="20" s="1"/>
  <c r="S45" i="20"/>
  <c r="Q46" i="20"/>
  <c r="H34" i="20"/>
  <c r="R42" i="20"/>
  <c r="R46" i="20"/>
  <c r="S47" i="20"/>
  <c r="E11" i="20"/>
  <c r="H29" i="20"/>
  <c r="H16" i="20"/>
  <c r="H27" i="20"/>
  <c r="S42" i="20"/>
  <c r="S46" i="20"/>
  <c r="Q47" i="20"/>
  <c r="E13" i="20"/>
  <c r="E24" i="20"/>
  <c r="S44" i="19"/>
  <c r="H27" i="19"/>
  <c r="O44" i="19" a="1"/>
  <c r="O44" i="19" s="1"/>
  <c r="Q47" i="19"/>
  <c r="H13" i="19"/>
  <c r="E17" i="19"/>
  <c r="H24" i="19"/>
  <c r="E29" i="19"/>
  <c r="O41" i="19" a="1"/>
  <c r="O41" i="19" s="1"/>
  <c r="X41" i="19" s="1"/>
  <c r="S43" i="19"/>
  <c r="Q44" i="19"/>
  <c r="O45" i="19" a="1"/>
  <c r="O45" i="19" s="1"/>
  <c r="S47" i="19"/>
  <c r="Q43" i="19"/>
  <c r="S46" i="19"/>
  <c r="E11" i="19"/>
  <c r="E21" i="19"/>
  <c r="E33" i="19"/>
  <c r="T43" i="19"/>
  <c r="T47" i="19"/>
  <c r="R41" i="19"/>
  <c r="H19" i="19"/>
  <c r="S41" i="19"/>
  <c r="Q42" i="19"/>
  <c r="S45" i="19"/>
  <c r="Q46" i="19"/>
  <c r="T48" i="19"/>
  <c r="H12" i="19"/>
  <c r="H23" i="19"/>
  <c r="R42" i="19"/>
  <c r="R46" i="19"/>
  <c r="E24" i="19"/>
  <c r="R48" i="18"/>
  <c r="E37" i="18"/>
  <c r="Q41" i="18"/>
  <c r="H19" i="18"/>
  <c r="E23" i="18"/>
  <c r="H30" i="18"/>
  <c r="E34" i="18"/>
  <c r="S41" i="18"/>
  <c r="Q42" i="18"/>
  <c r="O43" i="18" a="1"/>
  <c r="O43" i="18" s="1"/>
  <c r="S45" i="18"/>
  <c r="Q46" i="18"/>
  <c r="O47" i="18" a="1"/>
  <c r="O47" i="18" s="1"/>
  <c r="H12" i="18"/>
  <c r="H23" i="18"/>
  <c r="H34" i="18"/>
  <c r="T41" i="18"/>
  <c r="R42" i="18"/>
  <c r="T45" i="18"/>
  <c r="R46" i="18"/>
  <c r="S43" i="18"/>
  <c r="S47" i="18"/>
  <c r="Q48" i="18"/>
  <c r="E11" i="18"/>
  <c r="E21" i="18"/>
  <c r="R44" i="18"/>
  <c r="S44" i="18"/>
  <c r="Q45" i="18"/>
  <c r="S48" i="18"/>
  <c r="T44" i="18"/>
  <c r="T48" i="18"/>
  <c r="H16" i="18"/>
  <c r="H27" i="18"/>
  <c r="S42" i="18"/>
  <c r="Q43" i="18"/>
  <c r="S46" i="18"/>
  <c r="Q47" i="18"/>
  <c r="E13" i="18"/>
  <c r="E24" i="18"/>
  <c r="O41" i="17" a="1"/>
  <c r="O41" i="17" s="1"/>
  <c r="S43" i="17"/>
  <c r="Q44" i="17"/>
  <c r="O45" i="17" a="1"/>
  <c r="O45" i="17" s="1"/>
  <c r="S47" i="17"/>
  <c r="Q48" i="17"/>
  <c r="E11" i="17"/>
  <c r="R44" i="17"/>
  <c r="T47" i="17"/>
  <c r="H21" i="17"/>
  <c r="E37" i="17"/>
  <c r="Q41" i="17"/>
  <c r="O42" i="17" a="1"/>
  <c r="O42" i="17" s="1"/>
  <c r="S44" i="17"/>
  <c r="Q45" i="17"/>
  <c r="O46" i="17" a="1"/>
  <c r="O46" i="17" s="1"/>
  <c r="S48" i="17"/>
  <c r="H17" i="17"/>
  <c r="E21" i="17"/>
  <c r="H15" i="17"/>
  <c r="H25" i="17"/>
  <c r="E30" i="17"/>
  <c r="R41" i="17"/>
  <c r="T44" i="17"/>
  <c r="R45" i="17"/>
  <c r="T48" i="17"/>
  <c r="Q42" i="17"/>
  <c r="H23" i="17"/>
  <c r="E27" i="17"/>
  <c r="H34" i="17"/>
  <c r="E38" i="17"/>
  <c r="H16" i="17"/>
  <c r="E20" i="17"/>
  <c r="S42" i="17"/>
  <c r="Q43" i="17"/>
  <c r="S46" i="17"/>
  <c r="Q47" i="17"/>
  <c r="E13" i="17"/>
  <c r="O41" i="16" a="1"/>
  <c r="O41" i="16" s="1"/>
  <c r="X41" i="16" s="1"/>
  <c r="Q44" i="16"/>
  <c r="O45" i="16" a="1"/>
  <c r="O45" i="16" s="1"/>
  <c r="Q48" i="16"/>
  <c r="E11" i="16"/>
  <c r="E21" i="16"/>
  <c r="H29" i="16"/>
  <c r="E33" i="16"/>
  <c r="T43" i="16"/>
  <c r="T47" i="16"/>
  <c r="R48" i="16"/>
  <c r="Q41" i="16"/>
  <c r="Q45" i="16"/>
  <c r="E19" i="16"/>
  <c r="H37" i="16"/>
  <c r="R41" i="16"/>
  <c r="T44" i="16"/>
  <c r="R45" i="16"/>
  <c r="T48" i="16"/>
  <c r="E23" i="16"/>
  <c r="H30" i="16"/>
  <c r="S41" i="16"/>
  <c r="Q42" i="16"/>
  <c r="O43" i="16" a="1"/>
  <c r="O43" i="16" s="1"/>
  <c r="S45" i="16"/>
  <c r="Q46" i="16"/>
  <c r="O47" i="16" a="1"/>
  <c r="O47" i="16" s="1"/>
  <c r="H12" i="16"/>
  <c r="H34" i="16"/>
  <c r="R42" i="16"/>
  <c r="R46" i="16"/>
  <c r="H16" i="16"/>
  <c r="H27" i="16"/>
  <c r="E13" i="16"/>
  <c r="E24" i="16"/>
  <c r="S43" i="15"/>
  <c r="S47" i="15"/>
  <c r="Q48" i="15"/>
  <c r="E11" i="15"/>
  <c r="E21" i="15"/>
  <c r="H29" i="15"/>
  <c r="E33" i="15"/>
  <c r="T43" i="15"/>
  <c r="R44" i="15"/>
  <c r="T47" i="15"/>
  <c r="R48" i="15"/>
  <c r="T42" i="15"/>
  <c r="R43" i="15"/>
  <c r="T46" i="15"/>
  <c r="R47" i="15"/>
  <c r="H24" i="15"/>
  <c r="H36" i="15"/>
  <c r="S44" i="15"/>
  <c r="O46" i="15" a="1"/>
  <c r="O46" i="15" s="1"/>
  <c r="S48" i="15"/>
  <c r="R41" i="15"/>
  <c r="T44" i="15"/>
  <c r="H19" i="15"/>
  <c r="E23" i="15"/>
  <c r="H30" i="15"/>
  <c r="S41" i="15"/>
  <c r="Q42" i="15"/>
  <c r="O43" i="15" a="1"/>
  <c r="O43" i="15" s="1"/>
  <c r="S45" i="15"/>
  <c r="Q46" i="15"/>
  <c r="O47" i="15" a="1"/>
  <c r="O47" i="15" s="1"/>
  <c r="S42" i="15"/>
  <c r="E29" i="15"/>
  <c r="E37" i="15"/>
  <c r="Q45" i="15"/>
  <c r="E19" i="15"/>
  <c r="H12" i="15"/>
  <c r="H23" i="15"/>
  <c r="Q48" i="14"/>
  <c r="H15" i="14"/>
  <c r="H23" i="14"/>
  <c r="E26" i="14"/>
  <c r="E34" i="14"/>
  <c r="T43" i="14"/>
  <c r="R44" i="14"/>
  <c r="T47" i="14"/>
  <c r="R48" i="14"/>
  <c r="H36" i="14"/>
  <c r="E13" i="14"/>
  <c r="H18" i="14"/>
  <c r="E21" i="14"/>
  <c r="H34" i="14"/>
  <c r="E37" i="14"/>
  <c r="Q41" i="14"/>
  <c r="O42" i="14" a="1"/>
  <c r="O42" i="14" s="1"/>
  <c r="S44" i="14"/>
  <c r="Q45" i="14"/>
  <c r="O46" i="14" a="1"/>
  <c r="O46" i="14" s="1"/>
  <c r="S48" i="14"/>
  <c r="H29" i="14"/>
  <c r="E32" i="14"/>
  <c r="H37" i="14"/>
  <c r="T44" i="14"/>
  <c r="T48" i="14"/>
  <c r="H16" i="14"/>
  <c r="O43" i="14" a="1"/>
  <c r="O43" i="14" s="1"/>
  <c r="O47" i="14" a="1"/>
  <c r="O47" i="14" s="1"/>
  <c r="H11" i="14"/>
  <c r="H19" i="14"/>
  <c r="H35" i="14"/>
  <c r="R42" i="14"/>
  <c r="R46" i="14"/>
  <c r="Q43" i="14"/>
  <c r="O44" i="14" a="1"/>
  <c r="O44" i="14" s="1"/>
  <c r="Q47" i="14"/>
  <c r="E12" i="14"/>
  <c r="S43" i="13"/>
  <c r="Q48" i="13"/>
  <c r="E26" i="13"/>
  <c r="E34" i="13"/>
  <c r="R44" i="13"/>
  <c r="R48" i="13"/>
  <c r="H18" i="13"/>
  <c r="H34" i="13"/>
  <c r="T48" i="13"/>
  <c r="E11" i="13"/>
  <c r="H16" i="13"/>
  <c r="S41" i="13"/>
  <c r="Q42" i="13"/>
  <c r="O43" i="13" a="1"/>
  <c r="O43" i="13" s="1"/>
  <c r="S45" i="13"/>
  <c r="Q46" i="13"/>
  <c r="E21" i="13"/>
  <c r="S44" i="13"/>
  <c r="Q45" i="13"/>
  <c r="H37" i="13"/>
  <c r="H11" i="13"/>
  <c r="H19" i="13"/>
  <c r="E22" i="13"/>
  <c r="H27" i="13"/>
  <c r="T41" i="13"/>
  <c r="R42" i="13"/>
  <c r="R46" i="13"/>
  <c r="H36" i="13"/>
  <c r="E13" i="13"/>
  <c r="E37" i="13"/>
  <c r="H13" i="13"/>
  <c r="E17" i="13"/>
  <c r="E25" i="13"/>
  <c r="E33" i="13"/>
  <c r="S42" i="13"/>
  <c r="O44" i="13" a="1"/>
  <c r="O44" i="13" s="1"/>
  <c r="S46" i="13"/>
  <c r="Q47" i="13"/>
  <c r="E24" i="13"/>
  <c r="H33" i="13"/>
  <c r="Q48" i="12"/>
  <c r="H15" i="12"/>
  <c r="H23" i="12"/>
  <c r="E26" i="12"/>
  <c r="H31" i="12"/>
  <c r="E34" i="12"/>
  <c r="T43" i="12"/>
  <c r="T47" i="12"/>
  <c r="R48" i="12"/>
  <c r="Q44" i="12"/>
  <c r="E13" i="12"/>
  <c r="H18" i="12"/>
  <c r="E21" i="12"/>
  <c r="H34" i="12"/>
  <c r="E37" i="12"/>
  <c r="Q41" i="12"/>
  <c r="O42" i="12" a="1"/>
  <c r="O42" i="12" s="1"/>
  <c r="S44" i="12"/>
  <c r="Q45" i="12"/>
  <c r="O46" i="12" a="1"/>
  <c r="O46" i="12" s="1"/>
  <c r="S43" i="12"/>
  <c r="H13" i="12"/>
  <c r="H21" i="12"/>
  <c r="E24" i="12"/>
  <c r="H29" i="12"/>
  <c r="E32" i="12"/>
  <c r="H37" i="12"/>
  <c r="T44" i="12"/>
  <c r="T48" i="12"/>
  <c r="H16" i="12"/>
  <c r="Q42" i="12"/>
  <c r="Q46" i="12"/>
  <c r="H11" i="12"/>
  <c r="E14" i="12"/>
  <c r="H19" i="12"/>
  <c r="E22" i="12"/>
  <c r="H27" i="12"/>
  <c r="E30" i="12"/>
  <c r="R42" i="12"/>
  <c r="R46" i="12"/>
  <c r="E25" i="12"/>
  <c r="H36" i="11"/>
  <c r="S43" i="11"/>
  <c r="S47" i="11"/>
  <c r="S44" i="11"/>
  <c r="H13" i="11"/>
  <c r="E24" i="11"/>
  <c r="H29" i="11"/>
  <c r="E32" i="11"/>
  <c r="H37" i="11"/>
  <c r="R41" i="11"/>
  <c r="T44" i="11"/>
  <c r="R45" i="11"/>
  <c r="T48" i="11"/>
  <c r="Q44" i="11"/>
  <c r="Q48" i="11"/>
  <c r="E26" i="11"/>
  <c r="H34" i="11"/>
  <c r="E37" i="11"/>
  <c r="Q41" i="11"/>
  <c r="Q45" i="11"/>
  <c r="E11" i="11"/>
  <c r="H16" i="11"/>
  <c r="S41" i="11"/>
  <c r="Q42" i="11"/>
  <c r="O43" i="11" a="1"/>
  <c r="O43" i="11" s="1"/>
  <c r="S45" i="11"/>
  <c r="Q46" i="11"/>
  <c r="H18" i="11"/>
  <c r="S48" i="11"/>
  <c r="H11" i="11"/>
  <c r="H19" i="11"/>
  <c r="E22" i="11"/>
  <c r="H27" i="11"/>
  <c r="E30" i="11"/>
  <c r="E13" i="11"/>
  <c r="E21" i="11"/>
  <c r="E17" i="11"/>
  <c r="E25" i="11"/>
  <c r="E33" i="11"/>
  <c r="H33" i="11"/>
  <c r="E11" i="10"/>
  <c r="R44" i="10"/>
  <c r="R48" i="10"/>
  <c r="S48" i="10"/>
  <c r="H37" i="10"/>
  <c r="R41" i="10"/>
  <c r="T44" i="10"/>
  <c r="R45" i="10"/>
  <c r="T48" i="10"/>
  <c r="H36" i="10"/>
  <c r="E21" i="10"/>
  <c r="H29" i="10"/>
  <c r="E23" i="10"/>
  <c r="H30" i="10"/>
  <c r="S41" i="10"/>
  <c r="Q42" i="10"/>
  <c r="O43" i="10" a="1"/>
  <c r="O43" i="10" s="1"/>
  <c r="S45" i="10"/>
  <c r="Q46" i="10"/>
  <c r="E37" i="10"/>
  <c r="Q41" i="10"/>
  <c r="Q45" i="10"/>
  <c r="H12" i="10"/>
  <c r="H23" i="10"/>
  <c r="H34" i="10"/>
  <c r="R42" i="10"/>
  <c r="R46" i="10"/>
  <c r="S47" i="10"/>
  <c r="S44" i="10"/>
  <c r="H16" i="10"/>
  <c r="H27" i="10"/>
  <c r="Q43" i="10"/>
  <c r="O44" i="10" a="1"/>
  <c r="O44" i="10" s="1"/>
  <c r="X44" i="10" s="1"/>
  <c r="S46" i="10"/>
  <c r="Q47" i="10"/>
  <c r="E13" i="10"/>
  <c r="E24" i="10"/>
  <c r="H13" i="9"/>
  <c r="E17" i="9"/>
  <c r="O41" i="9" a="1"/>
  <c r="O41" i="9" s="1"/>
  <c r="X41" i="9" s="1"/>
  <c r="O45" i="9" a="1"/>
  <c r="O45" i="9" s="1"/>
  <c r="Q48" i="9"/>
  <c r="S43" i="9"/>
  <c r="Q44" i="9"/>
  <c r="E11" i="9"/>
  <c r="E21" i="9"/>
  <c r="H29" i="9"/>
  <c r="E33" i="9"/>
  <c r="T43" i="9"/>
  <c r="R44" i="9"/>
  <c r="T47" i="9"/>
  <c r="T44" i="9"/>
  <c r="H19" i="9"/>
  <c r="E23" i="9"/>
  <c r="H30" i="9"/>
  <c r="S41" i="9"/>
  <c r="Q42" i="9"/>
  <c r="S45" i="9"/>
  <c r="Q46" i="9"/>
  <c r="O47" i="9" a="1"/>
  <c r="O47" i="9" s="1"/>
  <c r="H23" i="9"/>
  <c r="H34" i="9"/>
  <c r="R42" i="9"/>
  <c r="R46" i="9"/>
  <c r="Q41" i="9"/>
  <c r="Q45" i="9"/>
  <c r="H16" i="9"/>
  <c r="H27" i="9"/>
  <c r="S42" i="9"/>
  <c r="S46" i="9"/>
  <c r="H33" i="9"/>
  <c r="E13" i="9"/>
  <c r="E24" i="9"/>
  <c r="R44" i="8"/>
  <c r="R48" i="8"/>
  <c r="H37" i="8"/>
  <c r="R41" i="8"/>
  <c r="R45" i="8"/>
  <c r="T48" i="8"/>
  <c r="S43" i="8"/>
  <c r="Q44" i="8"/>
  <c r="Q48" i="8"/>
  <c r="E21" i="8"/>
  <c r="H11" i="8"/>
  <c r="E15" i="8"/>
  <c r="E37" i="8"/>
  <c r="Q41" i="8"/>
  <c r="Q45" i="8"/>
  <c r="H19" i="8"/>
  <c r="E23" i="8"/>
  <c r="H30" i="8"/>
  <c r="E34" i="8"/>
  <c r="S41" i="8"/>
  <c r="O43" i="8" a="1"/>
  <c r="O43" i="8" s="1"/>
  <c r="S45" i="8"/>
  <c r="Q46" i="8"/>
  <c r="O47" i="8" a="1"/>
  <c r="O47" i="8" s="1"/>
  <c r="R42" i="8"/>
  <c r="R46" i="8"/>
  <c r="H16" i="8"/>
  <c r="H27" i="8"/>
  <c r="Q43" i="8"/>
  <c r="O44" i="8" a="1"/>
  <c r="O44" i="8" s="1"/>
  <c r="Q47" i="8"/>
  <c r="E11" i="8"/>
  <c r="H34" i="8"/>
  <c r="E13" i="8"/>
  <c r="E24" i="8"/>
  <c r="S47" i="7"/>
  <c r="T43" i="7"/>
  <c r="E21" i="7"/>
  <c r="H13" i="7"/>
  <c r="E24" i="7"/>
  <c r="H37" i="7"/>
  <c r="T44" i="7"/>
  <c r="T48" i="7"/>
  <c r="E11" i="7"/>
  <c r="H16" i="7"/>
  <c r="S41" i="7"/>
  <c r="Q42" i="7"/>
  <c r="O43" i="7" a="1"/>
  <c r="O43" i="7" s="1"/>
  <c r="X43" i="7" s="1"/>
  <c r="S45" i="7"/>
  <c r="Q46" i="7"/>
  <c r="Q44" i="7"/>
  <c r="Q48" i="7"/>
  <c r="E26" i="7"/>
  <c r="E34" i="7"/>
  <c r="E13" i="7"/>
  <c r="E37" i="7"/>
  <c r="Q45" i="7"/>
  <c r="R41" i="7"/>
  <c r="H11" i="7"/>
  <c r="H19" i="7"/>
  <c r="E22" i="7"/>
  <c r="H27" i="7"/>
  <c r="T41" i="7"/>
  <c r="R42" i="7"/>
  <c r="T45" i="7"/>
  <c r="R46" i="7"/>
  <c r="R48" i="7"/>
  <c r="H18" i="7"/>
  <c r="E17" i="7"/>
  <c r="E25" i="7"/>
  <c r="H30" i="7"/>
  <c r="E33" i="7"/>
  <c r="S42" i="7"/>
  <c r="Q43" i="7"/>
  <c r="S46" i="7"/>
  <c r="Q47" i="7"/>
  <c r="R44" i="7"/>
  <c r="H33" i="7"/>
  <c r="R45" i="6"/>
  <c r="H13" i="6"/>
  <c r="E17" i="6"/>
  <c r="H24" i="6"/>
  <c r="E29" i="6"/>
  <c r="O41" i="6" a="1"/>
  <c r="O41" i="6" s="1"/>
  <c r="X46" i="6" s="1"/>
  <c r="S43" i="6"/>
  <c r="Q44" i="6"/>
  <c r="O45" i="6" a="1"/>
  <c r="O45" i="6" s="1"/>
  <c r="S47" i="6"/>
  <c r="E33" i="6"/>
  <c r="T43" i="6"/>
  <c r="T47" i="6"/>
  <c r="R48" i="6"/>
  <c r="Q45" i="6"/>
  <c r="H37" i="6"/>
  <c r="T44" i="6"/>
  <c r="S41" i="6"/>
  <c r="Q42" i="6"/>
  <c r="O43" i="6" a="1"/>
  <c r="O43" i="6" s="1"/>
  <c r="Q46" i="6"/>
  <c r="O47" i="6" a="1"/>
  <c r="O47" i="6" s="1"/>
  <c r="H12" i="6"/>
  <c r="H23" i="6"/>
  <c r="R42" i="6"/>
  <c r="R46" i="6"/>
  <c r="Q41" i="6"/>
  <c r="S44" i="6"/>
  <c r="H27" i="6"/>
  <c r="S42" i="6"/>
  <c r="Q43" i="6"/>
  <c r="S46" i="6"/>
  <c r="Q47" i="6"/>
  <c r="E24" i="6"/>
  <c r="T42" i="5"/>
  <c r="R43" i="5"/>
  <c r="E15" i="5"/>
  <c r="O41" i="5" a="1"/>
  <c r="O41" i="5" s="1"/>
  <c r="X42" i="5" s="1"/>
  <c r="S43" i="5"/>
  <c r="Q44" i="5"/>
  <c r="O45" i="5" a="1"/>
  <c r="O45" i="5" s="1"/>
  <c r="S47" i="5"/>
  <c r="Q48" i="5"/>
  <c r="H15" i="5"/>
  <c r="H23" i="5"/>
  <c r="E34" i="5"/>
  <c r="T43" i="5"/>
  <c r="R44" i="5"/>
  <c r="R48" i="5"/>
  <c r="S44" i="5"/>
  <c r="H13" i="5"/>
  <c r="E24" i="5"/>
  <c r="E32" i="5"/>
  <c r="H37" i="5"/>
  <c r="R41" i="5"/>
  <c r="T44" i="5"/>
  <c r="R45" i="5"/>
  <c r="T48" i="5"/>
  <c r="S41" i="5"/>
  <c r="Q42" i="5"/>
  <c r="Q46" i="5"/>
  <c r="H11" i="5"/>
  <c r="H19" i="5"/>
  <c r="E22" i="5"/>
  <c r="H27" i="5"/>
  <c r="E25" i="5"/>
  <c r="X47" i="8" l="1"/>
  <c r="X43" i="11"/>
  <c r="X47" i="17"/>
  <c r="X48" i="5"/>
  <c r="X44" i="7"/>
  <c r="X41" i="13"/>
  <c r="X45" i="5"/>
  <c r="X48" i="7"/>
  <c r="X41" i="8"/>
  <c r="X47" i="21"/>
  <c r="X47" i="25"/>
  <c r="X43" i="26"/>
  <c r="X45" i="6"/>
  <c r="X41" i="7"/>
  <c r="X48" i="15"/>
  <c r="X44" i="6"/>
  <c r="X46" i="15"/>
  <c r="X45" i="17"/>
  <c r="X47" i="22"/>
  <c r="X46" i="27"/>
  <c r="X42" i="30"/>
  <c r="X42" i="12"/>
  <c r="X42" i="22"/>
  <c r="X48" i="6"/>
  <c r="X44" i="13"/>
  <c r="X44" i="14"/>
  <c r="X43" i="18"/>
  <c r="X46" i="21"/>
  <c r="X45" i="25"/>
  <c r="X43" i="30"/>
  <c r="X46" i="30"/>
  <c r="X41" i="30"/>
  <c r="X47" i="30"/>
  <c r="X45" i="30"/>
  <c r="X44" i="30"/>
  <c r="X43" i="29"/>
  <c r="X42" i="29"/>
  <c r="X45" i="29"/>
  <c r="X41" i="29"/>
  <c r="X47" i="29"/>
  <c r="X46" i="29"/>
  <c r="X44" i="29"/>
  <c r="X44" i="28"/>
  <c r="X41" i="28"/>
  <c r="X45" i="28"/>
  <c r="X46" i="28"/>
  <c r="X43" i="28"/>
  <c r="X42" i="28"/>
  <c r="X47" i="27"/>
  <c r="X42" i="27"/>
  <c r="X43" i="27"/>
  <c r="X41" i="27"/>
  <c r="X44" i="27"/>
  <c r="X45" i="26"/>
  <c r="X41" i="26"/>
  <c r="X47" i="26"/>
  <c r="X42" i="26"/>
  <c r="X46" i="26"/>
  <c r="X44" i="26"/>
  <c r="X41" i="25"/>
  <c r="X46" i="25"/>
  <c r="X43" i="25"/>
  <c r="X44" i="25"/>
  <c r="X42" i="25"/>
  <c r="X41" i="22"/>
  <c r="X43" i="22"/>
  <c r="X45" i="22"/>
  <c r="X46" i="22"/>
  <c r="X44" i="22"/>
  <c r="X42" i="21"/>
  <c r="X41" i="21"/>
  <c r="X43" i="21"/>
  <c r="X45" i="21"/>
  <c r="X44" i="21"/>
  <c r="X41" i="20"/>
  <c r="X46" i="20"/>
  <c r="X42" i="20"/>
  <c r="X47" i="20"/>
  <c r="X45" i="20"/>
  <c r="X44" i="20"/>
  <c r="X44" i="19"/>
  <c r="X42" i="19"/>
  <c r="X46" i="19"/>
  <c r="X43" i="19"/>
  <c r="X47" i="19"/>
  <c r="X45" i="19"/>
  <c r="X48" i="19"/>
  <c r="X46" i="18"/>
  <c r="X47" i="18"/>
  <c r="X41" i="18"/>
  <c r="X42" i="18"/>
  <c r="X45" i="18"/>
  <c r="X48" i="18"/>
  <c r="X44" i="18"/>
  <c r="X46" i="17"/>
  <c r="X43" i="17"/>
  <c r="X48" i="17"/>
  <c r="X41" i="17"/>
  <c r="X42" i="17"/>
  <c r="X44" i="17"/>
  <c r="X47" i="16"/>
  <c r="X45" i="16"/>
  <c r="X43" i="16"/>
  <c r="X48" i="16"/>
  <c r="X46" i="16"/>
  <c r="X42" i="16"/>
  <c r="X44" i="16"/>
  <c r="X44" i="15"/>
  <c r="X47" i="15"/>
  <c r="X42" i="15"/>
  <c r="X41" i="15"/>
  <c r="X43" i="15"/>
  <c r="X45" i="15"/>
  <c r="X47" i="14"/>
  <c r="X43" i="14"/>
  <c r="X46" i="14"/>
  <c r="X42" i="14"/>
  <c r="X48" i="14"/>
  <c r="X41" i="14"/>
  <c r="X45" i="14"/>
  <c r="X43" i="13"/>
  <c r="X42" i="13"/>
  <c r="X47" i="13"/>
  <c r="X46" i="13"/>
  <c r="X45" i="13"/>
  <c r="X41" i="12"/>
  <c r="X47" i="12"/>
  <c r="X43" i="12"/>
  <c r="X48" i="12"/>
  <c r="X46" i="12"/>
  <c r="X45" i="12"/>
  <c r="X44" i="12"/>
  <c r="X45" i="11"/>
  <c r="X47" i="11"/>
  <c r="X41" i="11"/>
  <c r="X46" i="11"/>
  <c r="X48" i="11"/>
  <c r="X42" i="11"/>
  <c r="X44" i="11"/>
  <c r="X43" i="10"/>
  <c r="X48" i="10"/>
  <c r="X46" i="10"/>
  <c r="X41" i="10"/>
  <c r="X47" i="10"/>
  <c r="X42" i="10"/>
  <c r="X45" i="10"/>
  <c r="X48" i="9"/>
  <c r="X47" i="9"/>
  <c r="X46" i="9"/>
  <c r="X42" i="9"/>
  <c r="X44" i="9"/>
  <c r="X45" i="9"/>
  <c r="X43" i="9"/>
  <c r="X48" i="8"/>
  <c r="X44" i="8"/>
  <c r="X42" i="8"/>
  <c r="X43" i="8"/>
  <c r="X45" i="8"/>
  <c r="X46" i="8"/>
  <c r="X45" i="7"/>
  <c r="X42" i="7"/>
  <c r="X46" i="7"/>
  <c r="X47" i="7"/>
  <c r="X43" i="6"/>
  <c r="X47" i="6"/>
  <c r="X41" i="6"/>
  <c r="X42" i="6"/>
  <c r="X43" i="5"/>
  <c r="X46" i="5"/>
  <c r="X41" i="5"/>
  <c r="X44" i="5"/>
  <c r="X4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<sst xmlns="http://schemas.openxmlformats.org/spreadsheetml/2006/main" count="3360" uniqueCount="371">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</sst>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430137A7-9B56-4999-81C1-5E10AEEF9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32502E-4A96-48F5-9344-8FC28597A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5676101-93E7-4BBD-863D-3C3C644AE6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417BFAD-79F4-40CB-9906-8D1E9C5C71E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D2B0DA4-2A12-4087-BB55-1E434F35A65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888CA0A-C5E7-4DF3-9C8D-CFC0020A0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2F515F0-074E-4400-9044-418F1015ED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8A0734-652E-40DE-B09B-49D93A2A5B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8C30C11-46FC-46F9-90DD-90B1B1D9883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E049A6-A7A3-4DE8-81C2-3CA72AC55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6138E54-C292-4BB9-8D39-EB4097AA8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6A9918F-E96D-44EB-9BFB-BB0C6C06B74B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86C2D26-2946-49E7-9DD8-E0E51FE7658C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37872B-9BF1-488E-9363-BCEA65CF3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DD364F5-850F-428A-829D-19CBEC745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B618C04-DCAF-4363-9A13-5B521953881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42BA5DB-88F6-4A5F-A248-4901D1D31C4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AE48AB-F04E-4B27-A481-C2266279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F245BA9-5555-4F73-8147-080A020664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2FA2FC-0BFB-43B8-8DE1-023899BAD49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68B3731-F85E-4477-836E-BEE7B40CF84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8E58E6-0E94-4053-9D21-DD4ADC61E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2A0DAF5-EF6E-45A0-A7BD-7306383D77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D39321-971A-41E9-9355-54F99849342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DB2A726-0B4E-4AAE-A5FC-3276BE9742D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9849DF-0BBC-48BF-8F49-888561FE4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1FE1B6E-CB36-4D65-9E08-4E7093DE7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AA82A0-6C25-4B92-8FC7-E42537F8B20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3E4C307-40E7-4A88-829F-E250A03CC67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62022C6-44E3-4BA7-8246-0F3DF7C69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A87BC92-163C-4ED2-AB9A-102891135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FE30E7-DF57-484A-BF4B-ACDB8D811F2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6F3B0D5-BD3E-4565-BBEC-4962BCB34F8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D1D1515-5C58-4ADE-B784-BB0E6FDE7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E05F784-9B0B-4272-BF54-7AADB7ED72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DC3DA8-77BF-45CE-ACA2-C2661A207E4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1B2E96C-52B7-4811-81E3-227C023591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974CEBD-229A-47C1-B256-DA9425FD1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F7399BC-EE90-4FEA-8DAA-4ED6DCA41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DBD169-088E-43D5-9E51-7836EB2CE93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0DFBF42-CC22-422F-8DC2-133412C26E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2FD8A1-957C-4BCC-83CF-F9459A838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52F84AB-EFEA-4497-AE07-B0B917749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F1E9A8-9565-4EB7-BB77-CC6BBAE5A2A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50E8E32-BE8D-43AC-BE76-1D831E50C20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393D02-886F-4308-B146-34AC15DA6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C2B2DAC-809A-4456-92D0-AA1FE8D4D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D5CEFB3-9EAD-455B-BF99-12AA2C5C67B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8A9E7D5-46AB-444C-8C3E-C3B612AEA97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E6BF69-9BB1-4176-BAE3-CD8DE2273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46A793E-752E-4054-B3FC-D7283FC12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207A89-6DA2-447E-B5E8-9AD9A763B66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69422AE-7F30-410C-A5BC-54DEBA1A3B1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CF40CFD-F18E-4A11-BF6D-AD231CCD5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715C305-6F3C-44B2-A5BA-5F2C674A9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DE9290-B443-4423-98BC-7C1EF080CD0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5065D44-E9F2-4139-8C3B-69B6888A81B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A7D622-BAC1-458F-AC0F-A8FECED93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C4DC335-8F6B-4824-A5FD-85C5059C6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389209-AA67-4095-AE1A-72E356EF191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A06799-DAD8-4572-8D26-0598283530A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A83DBFE-B0AB-43AB-B9E2-76188A5F1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2AA19FB-D574-47B9-97C3-5117AFC56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EDD6747-0F6F-44B3-ADE5-2A0DE0B4746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2538E2E-78D3-4AA0-9935-01D70BCA7CA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3E520B-CF72-4EF6-8F17-8E4706498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6A2B5C0-D47C-4C80-A55D-5C9C8BE7C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F96887-253A-4BE8-87F3-537C1223347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6159FCD-0420-45AC-9AB3-A614EA5F3B5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A43A7B0-3854-4CEC-98AD-BEB26B468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0B97BF4-C797-4D44-AFFB-EAAAEE077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A5C33AB-E2B8-4DB6-9A95-A7A12D51774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F7F9540-AA4D-42E3-9A65-584EB77DBFA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A591C2-0C68-4FC8-BC87-03021D5C0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556F42B-4991-4C68-8BDF-24FB0C262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B28017B-1050-493C-B8CE-CD384A77F9D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FF6820A-A9C5-45CE-B3EA-0CA5C05BFFE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B777C5B-4DDE-4338-A15F-5780A0C47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DCCE4E1-4370-4384-9093-1394B0C89F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F494EB0-092A-4699-A6CB-70030E4D18D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081371F-09DA-42F2-954C-1EE01741B1F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C5A144-DD89-4ACA-9D5E-60FF4EDA2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482E4BD-7658-4C76-BEC0-56A44E386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BDAFACE-4369-439A-B94C-714B7083C08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14D5D2-9E9A-41E2-B9C3-08472103251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EE5B088-500D-47FE-B905-9539B4C9C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8C9F3EC-2AC8-4119-86E1-DA91462D7B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106EF7-93DC-4C83-BED3-CE967B1CFD4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C6A9610-EFE1-49DB-AD61-A13CB5E2B7C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BD3A14-72BC-4CF5-BC51-EF8FD0B3F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02F114F-E682-4968-930F-80C7D59D0A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FD26F0-1E9B-4208-B0B1-B7E59245662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EABBEC2-A4D3-448C-A2A5-4137B4AC023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28669A4-C29B-4CF5-BC05-ABE72EC8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D9394EC-1543-401B-B4E6-4FD98B5B42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BC13C8-C63E-4B8F-86D8-420F9E6971F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870DFC9-B74B-4B68-8900-D9EA9561671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34229FC-09AC-41BC-B36B-595940DF9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5C9755C-5805-43BA-9EB3-C12E1381B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35563C-2771-4FE7-A36A-69FAD77C64A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F23B51C-1E7F-4435-B5B4-9B1CA4EA64A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B1681F-D13E-46BE-BC8F-69E2BDD13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E4ACA88-057F-43EE-9534-DE9F53900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7D1270-CAF3-4CE7-AC39-14D51E87504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AFBAC4-A60A-4478-8ACF-68C59F69DF5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6FE32D0-6DC5-48F2-83AE-F938CA069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28A5C0A-93C1-4454-9526-118203988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90AF8A-24B5-4CC5-ADB7-8701D6FEB17B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55D187-A19E-4F15-8CF4-9B8709E21043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244E1A-4F4D-4204-BF59-D580C7CB5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8F751D-7006-4D80-A31E-E0B12CA54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2C5F66-8399-4DA6-A813-318A8049806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B92E6C8-4F74-46E8-8802-057506A7227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4A81BB-B4A4-4B8F-856C-33F76DDAB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C776871-26D3-4EBB-9D32-28B6D1576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4EB6C5D-8D4F-41F0-81A3-1F1ABE3D68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9DA9D-7CFC-4B8E-814B-D99935188F59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904FB44-7606-48D0-9C96-53DD02E4E069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AE2545-BCBA-45FC-BDDF-721D66F62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2813-C5EA-42A7-AA5B-E4D56B89986C}">
  <sheetPr codeName="Blad1"/>
  <dimension ref="A3:AK69"/>
  <sheetViews>
    <sheetView tabSelected="1" topLeftCell="A3" zoomScale="96" zoomScaleNormal="96" workbookViewId="0">
      <selection activeCell="U7" sqref="U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163AF-94F3-467C-A487-69E11B4C8798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2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 t="shared" si="0"/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00A5-2CC5-4407-8C07-B4CE710F63DD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EB039-84D7-4E15-AB90-4CFC4E19D4B1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D942-F082-4E8D-8F1F-A0F9FFA4C0C7}">
  <sheetPr codeName="Blad3"/>
  <dimension ref="A1:X48"/>
  <sheetViews>
    <sheetView zoomScaleNormal="100" workbookViewId="0">
      <selection activeCell="A43" sqref="A43:XFD43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33</v>
      </c>
      <c r="K11" s="110" t="s">
        <v>294</v>
      </c>
      <c r="L11" s="111">
        <v>2</v>
      </c>
      <c r="M11" s="112" t="str">
        <f>Scheids!$D$6</f>
        <v>Ruud van Oosten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11</v>
      </c>
      <c r="K12" s="124" t="s">
        <v>294</v>
      </c>
      <c r="L12" s="125">
        <v>2</v>
      </c>
      <c r="M12" s="126" t="str">
        <f>Scheids!$D$6</f>
        <v>Ruud van Oosten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2</v>
      </c>
      <c r="K13" s="124" t="s">
        <v>294</v>
      </c>
      <c r="L13" s="125">
        <v>2</v>
      </c>
      <c r="M13" s="126" t="str">
        <f>Scheids!$D$6</f>
        <v>Ruud van Oosten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1</v>
      </c>
      <c r="K14" s="124" t="s">
        <v>294</v>
      </c>
      <c r="L14" s="125">
        <v>2</v>
      </c>
      <c r="M14" s="126" t="str">
        <f>Scheids!$F$6</f>
        <v>Guus Heemskerk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1</v>
      </c>
      <c r="K15" s="124" t="s">
        <v>294</v>
      </c>
      <c r="L15" s="125">
        <v>2</v>
      </c>
      <c r="M15" s="126" t="str">
        <f>Scheids!$F$6</f>
        <v>Guus Heemskerk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1</v>
      </c>
      <c r="K16" s="124" t="s">
        <v>294</v>
      </c>
      <c r="L16" s="125">
        <v>2</v>
      </c>
      <c r="M16" s="126" t="str">
        <f>Scheids!$F$6</f>
        <v>Guus Heemskerk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1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1</v>
      </c>
      <c r="K18" s="124" t="s">
        <v>294</v>
      </c>
      <c r="L18" s="125">
        <v>2</v>
      </c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1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1</v>
      </c>
      <c r="K20" s="124" t="s">
        <v>294</v>
      </c>
      <c r="L20" s="125">
        <v>2</v>
      </c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1</v>
      </c>
      <c r="K21" s="124" t="s">
        <v>294</v>
      </c>
      <c r="L21" s="125">
        <v>2</v>
      </c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1</v>
      </c>
      <c r="K22" s="124" t="s">
        <v>294</v>
      </c>
      <c r="L22" s="125">
        <v>2</v>
      </c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2</v>
      </c>
      <c r="K23" s="124" t="s">
        <v>294</v>
      </c>
      <c r="L23" s="125">
        <v>2</v>
      </c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4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1</v>
      </c>
      <c r="K25" s="124" t="s">
        <v>294</v>
      </c>
      <c r="L25" s="125">
        <v>2</v>
      </c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1</v>
      </c>
      <c r="K26" s="124" t="s">
        <v>294</v>
      </c>
      <c r="L26" s="125">
        <v>2</v>
      </c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2</v>
      </c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2</v>
      </c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1</v>
      </c>
      <c r="K29" s="124" t="s">
        <v>294</v>
      </c>
      <c r="L29" s="125">
        <v>2</v>
      </c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4</v>
      </c>
      <c r="K30" s="124" t="s">
        <v>294</v>
      </c>
      <c r="L30" s="125">
        <v>2</v>
      </c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1</v>
      </c>
      <c r="K31" s="124" t="s">
        <v>294</v>
      </c>
      <c r="L31" s="125">
        <v>2</v>
      </c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1</v>
      </c>
      <c r="K32" s="124" t="s">
        <v>294</v>
      </c>
      <c r="L32" s="125">
        <v>22</v>
      </c>
      <c r="M32" s="126" t="str">
        <f>Scheids!$F$6</f>
        <v>Guus Heemskerk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2</v>
      </c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1</v>
      </c>
      <c r="K34" s="124" t="s">
        <v>294</v>
      </c>
      <c r="L34" s="125">
        <v>2</v>
      </c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>
        <v>3</v>
      </c>
      <c r="K35" s="124" t="s">
        <v>294</v>
      </c>
      <c r="L35" s="125">
        <v>2</v>
      </c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>
        <v>1</v>
      </c>
      <c r="K36" s="124" t="s">
        <v>294</v>
      </c>
      <c r="L36" s="125">
        <v>2</v>
      </c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>
        <v>4</v>
      </c>
      <c r="K37" s="124" t="s">
        <v>294</v>
      </c>
      <c r="L37" s="125">
        <v>2</v>
      </c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>
        <v>1</v>
      </c>
      <c r="K38" s="139" t="s">
        <v>294</v>
      </c>
      <c r="L38" s="140">
        <v>2</v>
      </c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13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2</v>
      </c>
      <c r="T41" s="152">
        <f>COUNTIFS(E41:N41,1)</f>
        <v>1</v>
      </c>
      <c r="U41" s="152">
        <f>J11+L18+J21+J23+L29+J34+L36</f>
        <v>43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3</v>
      </c>
      <c r="Q42" s="152">
        <f t="shared" si="0"/>
        <v>7</v>
      </c>
      <c r="R42" s="152">
        <f t="shared" ref="R42:R48" si="2">COUNTIFS(E42:N42,3)</f>
        <v>1</v>
      </c>
      <c r="S42" s="152">
        <f t="shared" ref="S42:S48" si="3">COUNTIFS(E42:N42,0)</f>
        <v>6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46</v>
      </c>
      <c r="W42" s="152">
        <f>R11+Q15+R19+Q25+Q28+Q33+R37</f>
        <v>0</v>
      </c>
      <c r="X42" s="129">
        <f t="shared" si="1"/>
        <v>8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7</v>
      </c>
      <c r="Q43" s="152">
        <f t="shared" si="0"/>
        <v>7</v>
      </c>
      <c r="R43" s="152">
        <f t="shared" si="2"/>
        <v>2</v>
      </c>
      <c r="S43" s="152">
        <f t="shared" si="3"/>
        <v>4</v>
      </c>
      <c r="T43" s="152">
        <f t="shared" si="4"/>
        <v>1</v>
      </c>
      <c r="U43" s="152">
        <f>J12+L15+J20+L23+J27+J32+L35</f>
        <v>20</v>
      </c>
      <c r="V43" s="152">
        <f>L12+J15+L20+J23+L27+L32+J35</f>
        <v>34</v>
      </c>
      <c r="W43" s="152">
        <f>Q12+R15+Q20+R23+Q27+Q32+R35</f>
        <v>2</v>
      </c>
      <c r="X43" s="129">
        <f t="shared" si="1"/>
        <v>6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7</v>
      </c>
      <c r="R44" s="152">
        <f t="shared" si="2"/>
        <v>2</v>
      </c>
      <c r="S44" s="152">
        <f t="shared" si="3"/>
        <v>5</v>
      </c>
      <c r="T44" s="152">
        <f t="shared" si="4"/>
        <v>0</v>
      </c>
      <c r="U44" s="152">
        <f>L12+J16+J19+L24+J29+L31+L38</f>
        <v>11</v>
      </c>
      <c r="V44" s="152">
        <f>J12+L16+L19+J24+L29+J31+J38</f>
        <v>23</v>
      </c>
      <c r="W44" s="152">
        <f>R12+Q16+Q19+R24+Q29+R31+R38</f>
        <v>1</v>
      </c>
      <c r="X44" s="129">
        <f t="shared" si="1"/>
        <v>7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5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34</v>
      </c>
      <c r="V47" s="152">
        <f>L14+J17+J21+J25+L30+J32+L38</f>
        <v>10</v>
      </c>
      <c r="W47" s="152">
        <f>Q14+R17+R21+R25+Q30+R32+Q38</f>
        <v>1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59F3D-C283-4424-8B5E-E059B015C79B}">
  <sheetPr codeName="Blad4"/>
  <dimension ref="A1:X48"/>
  <sheetViews>
    <sheetView topLeftCell="A1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>
        <v>1</v>
      </c>
      <c r="K11" s="110" t="s">
        <v>294</v>
      </c>
      <c r="L11" s="111">
        <v>2</v>
      </c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1</v>
      </c>
      <c r="K12" s="124" t="s">
        <v>294</v>
      </c>
      <c r="L12" s="125">
        <v>2</v>
      </c>
      <c r="M12" s="126" t="str">
        <f>Scheids!$D$7</f>
        <v>Marcel de Letter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2</v>
      </c>
      <c r="K13" s="124" t="s">
        <v>294</v>
      </c>
      <c r="L13" s="125">
        <v>2</v>
      </c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1</v>
      </c>
      <c r="K15" s="124" t="s">
        <v>294</v>
      </c>
      <c r="L15" s="125">
        <v>2</v>
      </c>
      <c r="M15" s="126" t="str">
        <f>Scheids!$F$7</f>
        <v>Gerard Zoet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2</v>
      </c>
      <c r="M16" s="126" t="str">
        <f>Scheids!$F$7</f>
        <v>Gerard Zoet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1</v>
      </c>
      <c r="K17" s="124" t="s">
        <v>294</v>
      </c>
      <c r="L17" s="125">
        <v>2</v>
      </c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2</v>
      </c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1</v>
      </c>
      <c r="K20" s="124" t="s">
        <v>294</v>
      </c>
      <c r="L20" s="125">
        <v>2</v>
      </c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1</v>
      </c>
      <c r="K21" s="124" t="s">
        <v>294</v>
      </c>
      <c r="L21" s="125">
        <v>2</v>
      </c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2</v>
      </c>
      <c r="K23" s="124" t="s">
        <v>294</v>
      </c>
      <c r="L23" s="125">
        <v>2</v>
      </c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4</v>
      </c>
      <c r="K24" s="124" t="s">
        <v>294</v>
      </c>
      <c r="L24" s="125">
        <v>2</v>
      </c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1</v>
      </c>
      <c r="K25" s="124" t="s">
        <v>294</v>
      </c>
      <c r="L25" s="125">
        <v>2</v>
      </c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1</v>
      </c>
      <c r="K27" s="124" t="s">
        <v>294</v>
      </c>
      <c r="L27" s="125">
        <v>2</v>
      </c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1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4</v>
      </c>
      <c r="K30" s="124" t="s">
        <v>294</v>
      </c>
      <c r="L30" s="125">
        <v>2</v>
      </c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1</v>
      </c>
      <c r="K32" s="124" t="s">
        <v>294</v>
      </c>
      <c r="L32" s="125">
        <v>2</v>
      </c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1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1</v>
      </c>
      <c r="K34" s="124" t="s">
        <v>294</v>
      </c>
      <c r="L34" s="125">
        <v>2</v>
      </c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>
        <v>1</v>
      </c>
      <c r="K36" s="124" t="s">
        <v>294</v>
      </c>
      <c r="L36" s="125">
        <v>2</v>
      </c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>
        <v>4</v>
      </c>
      <c r="K37" s="124" t="s">
        <v>294</v>
      </c>
      <c r="L37" s="125">
        <v>2</v>
      </c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>
        <v>1</v>
      </c>
      <c r="K38" s="139" t="s">
        <v>294</v>
      </c>
      <c r="L38" s="140">
        <v>2</v>
      </c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2005-4E68-406C-8FCF-2CADD34944D2}">
  <sheetPr codeName="Blad5"/>
  <dimension ref="A1:X48"/>
  <sheetViews>
    <sheetView topLeftCell="A19" zoomScaleNormal="100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1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1</v>
      </c>
      <c r="K12" s="124" t="s">
        <v>294</v>
      </c>
      <c r="L12" s="125">
        <v>2</v>
      </c>
      <c r="M12" s="126" t="str">
        <f>Scheids!$D$8</f>
        <v>Louis vd Weijde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2</v>
      </c>
      <c r="K13" s="124" t="s">
        <v>294</v>
      </c>
      <c r="L13" s="125">
        <v>2</v>
      </c>
      <c r="M13" s="126" t="str">
        <f>Scheids!$D$8</f>
        <v>Louis vd Weijde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1</v>
      </c>
      <c r="K14" s="124" t="s">
        <v>294</v>
      </c>
      <c r="L14" s="125">
        <v>2</v>
      </c>
      <c r="M14" s="126" t="str">
        <f>Scheids!$F$8</f>
        <v>Marcel den Os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2</v>
      </c>
      <c r="M15" s="126" t="str">
        <f>Scheids!$F$8</f>
        <v>Marcel den Os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1</v>
      </c>
      <c r="K16" s="124" t="s">
        <v>294</v>
      </c>
      <c r="L16" s="125">
        <v>2</v>
      </c>
      <c r="M16" s="126" t="str">
        <f>Scheids!$F$8</f>
        <v>Marcel den Os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1</v>
      </c>
      <c r="K17" s="124" t="s">
        <v>294</v>
      </c>
      <c r="L17" s="125">
        <v>2</v>
      </c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1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1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1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1</v>
      </c>
      <c r="K21" s="124" t="s">
        <v>294</v>
      </c>
      <c r="L21" s="125">
        <v>2</v>
      </c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1</v>
      </c>
      <c r="K22" s="124" t="s">
        <v>294</v>
      </c>
      <c r="L22" s="125">
        <v>2</v>
      </c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2</v>
      </c>
      <c r="K23" s="124" t="s">
        <v>294</v>
      </c>
      <c r="L23" s="125">
        <v>2</v>
      </c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4</v>
      </c>
      <c r="K24" s="124" t="s">
        <v>294</v>
      </c>
      <c r="L24" s="125">
        <v>2</v>
      </c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2</v>
      </c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1</v>
      </c>
      <c r="K26" s="124" t="s">
        <v>294</v>
      </c>
      <c r="L26" s="125">
        <v>2</v>
      </c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1</v>
      </c>
      <c r="K27" s="124" t="s">
        <v>294</v>
      </c>
      <c r="L27" s="125">
        <v>2</v>
      </c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1</v>
      </c>
      <c r="K28" s="124" t="s">
        <v>294</v>
      </c>
      <c r="L28" s="125">
        <v>2</v>
      </c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1</v>
      </c>
      <c r="K29" s="124" t="s">
        <v>294</v>
      </c>
      <c r="L29" s="125">
        <v>2</v>
      </c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4</v>
      </c>
      <c r="K30" s="124" t="s">
        <v>294</v>
      </c>
      <c r="L30" s="125">
        <v>2</v>
      </c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2</v>
      </c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1</v>
      </c>
      <c r="K32" s="124" t="s">
        <v>294</v>
      </c>
      <c r="L32" s="125">
        <v>2</v>
      </c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1</v>
      </c>
      <c r="K33" s="124" t="s">
        <v>294</v>
      </c>
      <c r="L33" s="125">
        <v>2</v>
      </c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1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>
        <v>3</v>
      </c>
      <c r="K35" s="124" t="s">
        <v>294</v>
      </c>
      <c r="L35" s="125">
        <v>2</v>
      </c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>
        <v>1</v>
      </c>
      <c r="K36" s="124" t="s">
        <v>294</v>
      </c>
      <c r="L36" s="125">
        <v>2</v>
      </c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>
        <v>4</v>
      </c>
      <c r="K37" s="124" t="s">
        <v>294</v>
      </c>
      <c r="L37" s="125">
        <v>2</v>
      </c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>
        <v>1</v>
      </c>
      <c r="K38" s="139" t="s">
        <v>294</v>
      </c>
      <c r="L38" s="140">
        <v>2</v>
      </c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52C64-1B9F-451B-B01E-1B7E500F8DFA}">
  <sheetPr codeName="Blad6"/>
  <dimension ref="A1:X48"/>
  <sheetViews>
    <sheetView topLeftCell="A26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1</v>
      </c>
      <c r="K11" s="110" t="s">
        <v>294</v>
      </c>
      <c r="L11" s="111">
        <v>2</v>
      </c>
      <c r="M11" s="112" t="str">
        <f>Scheids!$D$9</f>
        <v>Chris van Noordwijk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1</v>
      </c>
      <c r="K12" s="124" t="s">
        <v>294</v>
      </c>
      <c r="L12" s="125">
        <v>2</v>
      </c>
      <c r="M12" s="126" t="str">
        <f>Scheids!$D$9</f>
        <v>Chris van Noordwijk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2</v>
      </c>
      <c r="K13" s="124" t="s">
        <v>294</v>
      </c>
      <c r="L13" s="125">
        <v>2</v>
      </c>
      <c r="M13" s="126" t="str">
        <f>Scheids!$D$9</f>
        <v>Chris van Noordwijk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1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2</v>
      </c>
      <c r="M16" s="126" t="str">
        <f>Scheids!$F$9</f>
        <v>Dik vd Mast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1</v>
      </c>
      <c r="K17" s="124" t="s">
        <v>294</v>
      </c>
      <c r="L17" s="125">
        <v>2</v>
      </c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1</v>
      </c>
      <c r="K19" s="124" t="s">
        <v>294</v>
      </c>
      <c r="L19" s="125">
        <v>2</v>
      </c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1</v>
      </c>
      <c r="K20" s="124" t="s">
        <v>294</v>
      </c>
      <c r="L20" s="125">
        <v>2</v>
      </c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1</v>
      </c>
      <c r="K21" s="124" t="s">
        <v>294</v>
      </c>
      <c r="L21" s="125">
        <v>2</v>
      </c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2</v>
      </c>
      <c r="K23" s="124" t="s">
        <v>294</v>
      </c>
      <c r="L23" s="125">
        <v>2</v>
      </c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4</v>
      </c>
      <c r="K24" s="124" t="s">
        <v>294</v>
      </c>
      <c r="L24" s="125">
        <v>2</v>
      </c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1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2</v>
      </c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1</v>
      </c>
      <c r="K29" s="124" t="s">
        <v>294</v>
      </c>
      <c r="L29" s="125">
        <v>2</v>
      </c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4</v>
      </c>
      <c r="K30" s="124" t="s">
        <v>294</v>
      </c>
      <c r="L30" s="125">
        <v>2</v>
      </c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1</v>
      </c>
      <c r="K32" s="124" t="s">
        <v>294</v>
      </c>
      <c r="L32" s="125">
        <v>2</v>
      </c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1</v>
      </c>
      <c r="K33" s="124" t="s">
        <v>294</v>
      </c>
      <c r="L33" s="125">
        <v>2</v>
      </c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1</v>
      </c>
      <c r="K34" s="124" t="s">
        <v>294</v>
      </c>
      <c r="L34" s="125">
        <v>2</v>
      </c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>
        <v>1</v>
      </c>
      <c r="K36" s="124" t="s">
        <v>294</v>
      </c>
      <c r="L36" s="125">
        <v>2</v>
      </c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>
        <v>4</v>
      </c>
      <c r="K37" s="124" t="s">
        <v>294</v>
      </c>
      <c r="L37" s="125">
        <v>2</v>
      </c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>
        <v>1</v>
      </c>
      <c r="K38" s="139" t="s">
        <v>294</v>
      </c>
      <c r="L38" s="140">
        <v>2</v>
      </c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2EDF-8E10-4694-AC0F-46E6A3F64DBD}">
  <sheetPr codeName="Blad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1</v>
      </c>
      <c r="K11" s="110" t="s">
        <v>294</v>
      </c>
      <c r="L11" s="111">
        <v>2</v>
      </c>
      <c r="M11" s="112" t="str">
        <f>Scheids!$D$10</f>
        <v>Dion Dingler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1</v>
      </c>
      <c r="K12" s="124" t="s">
        <v>294</v>
      </c>
      <c r="L12" s="125">
        <v>2</v>
      </c>
      <c r="M12" s="126" t="str">
        <f>Scheids!$D$10</f>
        <v>Dion Dingler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2</v>
      </c>
      <c r="K13" s="124" t="s">
        <v>294</v>
      </c>
      <c r="L13" s="125">
        <v>2</v>
      </c>
      <c r="M13" s="126" t="str">
        <f>Scheids!$D$10</f>
        <v>Dion Dingler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1</v>
      </c>
      <c r="K15" s="124" t="s">
        <v>294</v>
      </c>
      <c r="L15" s="125">
        <v>2</v>
      </c>
      <c r="M15" s="126" t="str">
        <f>Scheids!$F$10</f>
        <v>Henk Priem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1</v>
      </c>
      <c r="K16" s="124" t="s">
        <v>294</v>
      </c>
      <c r="L16" s="125">
        <v>2</v>
      </c>
      <c r="M16" s="126" t="str">
        <f>Scheids!$F$10</f>
        <v>Henk Priem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1</v>
      </c>
      <c r="K17" s="124" t="s">
        <v>294</v>
      </c>
      <c r="L17" s="125">
        <v>2</v>
      </c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1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1</v>
      </c>
      <c r="K20" s="124" t="s">
        <v>294</v>
      </c>
      <c r="L20" s="125">
        <v>2</v>
      </c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1</v>
      </c>
      <c r="K21" s="124" t="s">
        <v>294</v>
      </c>
      <c r="L21" s="125">
        <v>2</v>
      </c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2</v>
      </c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2</v>
      </c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1</v>
      </c>
      <c r="K25" s="124" t="s">
        <v>294</v>
      </c>
      <c r="L25" s="125">
        <v>2</v>
      </c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1</v>
      </c>
      <c r="K27" s="124" t="s">
        <v>294</v>
      </c>
      <c r="L27" s="125">
        <v>2</v>
      </c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1</v>
      </c>
      <c r="K29" s="124" t="s">
        <v>294</v>
      </c>
      <c r="L29" s="125">
        <v>2</v>
      </c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4</v>
      </c>
      <c r="K30" s="124" t="s">
        <v>294</v>
      </c>
      <c r="L30" s="125">
        <v>2</v>
      </c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1</v>
      </c>
      <c r="K32" s="124" t="s">
        <v>294</v>
      </c>
      <c r="L32" s="125">
        <v>2</v>
      </c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1</v>
      </c>
      <c r="K33" s="124" t="s">
        <v>294</v>
      </c>
      <c r="L33" s="125">
        <v>2</v>
      </c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1</v>
      </c>
      <c r="K34" s="124" t="s">
        <v>294</v>
      </c>
      <c r="L34" s="125">
        <v>2</v>
      </c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>
        <v>1</v>
      </c>
      <c r="K36" s="124" t="s">
        <v>294</v>
      </c>
      <c r="L36" s="125">
        <v>2</v>
      </c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>
        <v>4</v>
      </c>
      <c r="K37" s="124" t="s">
        <v>294</v>
      </c>
      <c r="L37" s="125">
        <v>2</v>
      </c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>
        <v>1</v>
      </c>
      <c r="K38" s="139" t="s">
        <v>294</v>
      </c>
      <c r="L38" s="140">
        <v>2</v>
      </c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3E8D4-099B-4C34-8A0D-C728F978D348}">
  <sheetPr codeName="Blad8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1</v>
      </c>
      <c r="K11" s="110" t="s">
        <v>294</v>
      </c>
      <c r="L11" s="111">
        <v>2</v>
      </c>
      <c r="M11" s="112" t="str">
        <f>Scheids!$D$11</f>
        <v>Leo Boer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1</v>
      </c>
      <c r="K12" s="124" t="s">
        <v>294</v>
      </c>
      <c r="L12" s="125">
        <v>2</v>
      </c>
      <c r="M12" s="126" t="str">
        <f>Scheids!$D$11</f>
        <v>Leo Boer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2</v>
      </c>
      <c r="K13" s="124" t="s">
        <v>294</v>
      </c>
      <c r="L13" s="125">
        <v>2</v>
      </c>
      <c r="M13" s="126" t="str">
        <f>Scheids!$D$11</f>
        <v>Leo Boer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1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1</v>
      </c>
      <c r="K16" s="124" t="s">
        <v>294</v>
      </c>
      <c r="L16" s="125">
        <v>2</v>
      </c>
      <c r="M16" s="126" t="str">
        <f>Scheids!$F$11</f>
        <v>Lars v Gassel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1</v>
      </c>
      <c r="K17" s="124" t="s">
        <v>294</v>
      </c>
      <c r="L17" s="125">
        <v>2</v>
      </c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1</v>
      </c>
      <c r="K20" s="124" t="s">
        <v>294</v>
      </c>
      <c r="L20" s="125">
        <v>2</v>
      </c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1</v>
      </c>
      <c r="K21" s="124" t="s">
        <v>294</v>
      </c>
      <c r="L21" s="125">
        <v>2</v>
      </c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2</v>
      </c>
      <c r="K23" s="124" t="s">
        <v>294</v>
      </c>
      <c r="L23" s="125">
        <v>2</v>
      </c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4</v>
      </c>
      <c r="K24" s="124" t="s">
        <v>294</v>
      </c>
      <c r="L24" s="125">
        <v>2</v>
      </c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1</v>
      </c>
      <c r="K25" s="124" t="s">
        <v>294</v>
      </c>
      <c r="L25" s="125">
        <v>2</v>
      </c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1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1</v>
      </c>
      <c r="K29" s="124" t="s">
        <v>294</v>
      </c>
      <c r="L29" s="125">
        <v>2</v>
      </c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4</v>
      </c>
      <c r="K30" s="124" t="s">
        <v>294</v>
      </c>
      <c r="L30" s="125">
        <v>2</v>
      </c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1</v>
      </c>
      <c r="K32" s="124" t="s">
        <v>294</v>
      </c>
      <c r="L32" s="125">
        <v>2</v>
      </c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2</v>
      </c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1</v>
      </c>
      <c r="K34" s="124" t="s">
        <v>294</v>
      </c>
      <c r="L34" s="125">
        <v>2</v>
      </c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>
        <v>1</v>
      </c>
      <c r="K36" s="124" t="s">
        <v>294</v>
      </c>
      <c r="L36" s="125">
        <v>2</v>
      </c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>
        <v>4</v>
      </c>
      <c r="K37" s="124" t="s">
        <v>294</v>
      </c>
      <c r="L37" s="125">
        <v>2</v>
      </c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>
        <v>1</v>
      </c>
      <c r="K38" s="139" t="s">
        <v>294</v>
      </c>
      <c r="L38" s="140">
        <v>2</v>
      </c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FD2B0-87F4-496A-BAB7-FA45B71E1187}">
  <sheetPr codeName="Blad9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1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2</v>
      </c>
      <c r="M12" s="126" t="str">
        <f>Scheids!$D$12</f>
        <v>Theo Dessens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2</v>
      </c>
      <c r="K13" s="124" t="s">
        <v>294</v>
      </c>
      <c r="L13" s="125">
        <v>2</v>
      </c>
      <c r="M13" s="126" t="str">
        <f>Scheids!$D$12</f>
        <v>Theo Dessens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1</v>
      </c>
      <c r="K14" s="124" t="s">
        <v>294</v>
      </c>
      <c r="L14" s="125">
        <v>2</v>
      </c>
      <c r="M14" s="126" t="str">
        <f>Scheids!$F$12</f>
        <v>Ton Haanappel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1</v>
      </c>
      <c r="K15" s="124" t="s">
        <v>294</v>
      </c>
      <c r="L15" s="125">
        <v>2</v>
      </c>
      <c r="M15" s="126" t="str">
        <f>Scheids!$F$12</f>
        <v>Ton Haanappel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2</v>
      </c>
      <c r="M16" s="126" t="str">
        <f>Scheids!$F$12</f>
        <v>Ton Haanappel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1</v>
      </c>
      <c r="K17" s="124" t="s">
        <v>294</v>
      </c>
      <c r="L17" s="125">
        <v>2</v>
      </c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1</v>
      </c>
      <c r="K18" s="124" t="s">
        <v>294</v>
      </c>
      <c r="L18" s="125">
        <v>2</v>
      </c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1</v>
      </c>
      <c r="K19" s="124" t="s">
        <v>294</v>
      </c>
      <c r="L19" s="125">
        <v>2</v>
      </c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1</v>
      </c>
      <c r="K20" s="124" t="s">
        <v>294</v>
      </c>
      <c r="L20" s="125">
        <v>2</v>
      </c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1</v>
      </c>
      <c r="K21" s="124" t="s">
        <v>294</v>
      </c>
      <c r="L21" s="125">
        <v>2</v>
      </c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1</v>
      </c>
      <c r="K22" s="124" t="s">
        <v>294</v>
      </c>
      <c r="L22" s="125">
        <v>2</v>
      </c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2</v>
      </c>
      <c r="K23" s="124" t="s">
        <v>294</v>
      </c>
      <c r="L23" s="125">
        <v>2</v>
      </c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4</v>
      </c>
      <c r="K24" s="124" t="s">
        <v>294</v>
      </c>
      <c r="L24" s="125">
        <v>2</v>
      </c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1</v>
      </c>
      <c r="K25" s="124" t="s">
        <v>294</v>
      </c>
      <c r="L25" s="125">
        <v>2</v>
      </c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2</v>
      </c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1</v>
      </c>
      <c r="K27" s="124" t="s">
        <v>294</v>
      </c>
      <c r="L27" s="125">
        <v>2</v>
      </c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1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1</v>
      </c>
      <c r="K29" s="124" t="s">
        <v>294</v>
      </c>
      <c r="L29" s="125">
        <v>2</v>
      </c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4</v>
      </c>
      <c r="K30" s="124" t="s">
        <v>294</v>
      </c>
      <c r="L30" s="125">
        <v>2</v>
      </c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1</v>
      </c>
      <c r="K31" s="124" t="s">
        <v>294</v>
      </c>
      <c r="L31" s="125">
        <v>2</v>
      </c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1</v>
      </c>
      <c r="K32" s="124" t="s">
        <v>294</v>
      </c>
      <c r="L32" s="125">
        <v>2</v>
      </c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1</v>
      </c>
      <c r="K33" s="124" t="s">
        <v>294</v>
      </c>
      <c r="L33" s="125">
        <v>2</v>
      </c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>
        <v>3</v>
      </c>
      <c r="K35" s="124" t="s">
        <v>294</v>
      </c>
      <c r="L35" s="125">
        <v>2</v>
      </c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>
        <v>1</v>
      </c>
      <c r="K36" s="124" t="s">
        <v>294</v>
      </c>
      <c r="L36" s="125">
        <v>2</v>
      </c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>
        <v>4</v>
      </c>
      <c r="K37" s="124" t="s">
        <v>294</v>
      </c>
      <c r="L37" s="125">
        <v>2</v>
      </c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>
        <v>1</v>
      </c>
      <c r="K38" s="139" t="s">
        <v>294</v>
      </c>
      <c r="L38" s="140">
        <v>2</v>
      </c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8AD-E252-4AC3-867C-DFC586AA5D2C}">
  <sheetPr codeName="Blad10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2</v>
      </c>
      <c r="M11" s="112" t="str">
        <f>Scheids!$D$13</f>
        <v>Ruud Bakas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1</v>
      </c>
      <c r="K12" s="124" t="s">
        <v>294</v>
      </c>
      <c r="L12" s="125">
        <v>2</v>
      </c>
      <c r="M12" s="126" t="str">
        <f>Scheids!$D$13</f>
        <v>Ruud Bakas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2</v>
      </c>
      <c r="K13" s="124" t="s">
        <v>294</v>
      </c>
      <c r="L13" s="125">
        <v>2</v>
      </c>
      <c r="M13" s="126" t="str">
        <f>Scheids!$D$13</f>
        <v>Ruud Bakas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2</v>
      </c>
      <c r="M14" s="126" t="str">
        <f>Scheids!$F$13</f>
        <v>Gennaro vd Kan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1</v>
      </c>
      <c r="K15" s="124" t="s">
        <v>294</v>
      </c>
      <c r="L15" s="125">
        <v>2</v>
      </c>
      <c r="M15" s="126" t="str">
        <f>Scheids!$F$13</f>
        <v>Gennaro vd Kan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1</v>
      </c>
      <c r="K16" s="124" t="s">
        <v>294</v>
      </c>
      <c r="L16" s="125">
        <v>2</v>
      </c>
      <c r="M16" s="126" t="str">
        <f>Scheids!$F$13</f>
        <v>Gennaro vd Kan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1</v>
      </c>
      <c r="K17" s="124" t="s">
        <v>294</v>
      </c>
      <c r="L17" s="125">
        <v>2</v>
      </c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1</v>
      </c>
      <c r="K18" s="124" t="s">
        <v>294</v>
      </c>
      <c r="L18" s="125">
        <v>2</v>
      </c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1</v>
      </c>
      <c r="K19" s="124" t="s">
        <v>294</v>
      </c>
      <c r="L19" s="125">
        <v>2</v>
      </c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1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1</v>
      </c>
      <c r="K21" s="124" t="s">
        <v>294</v>
      </c>
      <c r="L21" s="125">
        <v>2</v>
      </c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2</v>
      </c>
      <c r="K23" s="124" t="s">
        <v>294</v>
      </c>
      <c r="L23" s="125">
        <v>2</v>
      </c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4</v>
      </c>
      <c r="K24" s="124" t="s">
        <v>294</v>
      </c>
      <c r="L24" s="125">
        <v>2</v>
      </c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1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1</v>
      </c>
      <c r="K26" s="124" t="s">
        <v>294</v>
      </c>
      <c r="L26" s="125">
        <v>2</v>
      </c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1</v>
      </c>
      <c r="K27" s="124" t="s">
        <v>294</v>
      </c>
      <c r="L27" s="125">
        <v>2</v>
      </c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1</v>
      </c>
      <c r="K28" s="124" t="s">
        <v>294</v>
      </c>
      <c r="L28" s="125">
        <v>2</v>
      </c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2</v>
      </c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4</v>
      </c>
      <c r="K30" s="124" t="s">
        <v>294</v>
      </c>
      <c r="L30" s="125">
        <v>2</v>
      </c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1</v>
      </c>
      <c r="K31" s="124" t="s">
        <v>294</v>
      </c>
      <c r="L31" s="125">
        <v>2</v>
      </c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1</v>
      </c>
      <c r="K32" s="124" t="s">
        <v>294</v>
      </c>
      <c r="L32" s="125">
        <v>2</v>
      </c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1</v>
      </c>
      <c r="K33" s="124" t="s">
        <v>294</v>
      </c>
      <c r="L33" s="125">
        <v>2</v>
      </c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1</v>
      </c>
      <c r="K34" s="124" t="s">
        <v>294</v>
      </c>
      <c r="L34" s="125">
        <v>2</v>
      </c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>
        <v>3</v>
      </c>
      <c r="K35" s="124" t="s">
        <v>294</v>
      </c>
      <c r="L35" s="125">
        <v>2</v>
      </c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>
        <v>1</v>
      </c>
      <c r="K36" s="124" t="s">
        <v>294</v>
      </c>
      <c r="L36" s="125">
        <v>2</v>
      </c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>
        <v>4</v>
      </c>
      <c r="K37" s="124" t="s">
        <v>294</v>
      </c>
      <c r="L37" s="125">
        <v>2</v>
      </c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>
        <v>1</v>
      </c>
      <c r="K38" s="139" t="s">
        <v>294</v>
      </c>
      <c r="L38" s="140">
        <v>2</v>
      </c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54D8-D042-414A-B4C0-45381915440A}">
  <sheetPr codeName="Blad11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1</v>
      </c>
      <c r="K11" s="110" t="s">
        <v>294</v>
      </c>
      <c r="L11" s="111">
        <v>2</v>
      </c>
      <c r="M11" s="112" t="str">
        <f>Scheids!$D$14</f>
        <v>Rob Staakman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1</v>
      </c>
      <c r="K12" s="124" t="s">
        <v>294</v>
      </c>
      <c r="L12" s="125">
        <v>2</v>
      </c>
      <c r="M12" s="126" t="str">
        <f>Scheids!$D$14</f>
        <v>Rob Staakman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2</v>
      </c>
      <c r="K13" s="124" t="s">
        <v>294</v>
      </c>
      <c r="L13" s="125">
        <v>2</v>
      </c>
      <c r="M13" s="126" t="str">
        <f>Scheids!$D$14</f>
        <v>Rob Staakman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1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1</v>
      </c>
      <c r="K15" s="124" t="s">
        <v>294</v>
      </c>
      <c r="L15" s="125">
        <v>2</v>
      </c>
      <c r="M15" s="126" t="str">
        <f>Scheids!$F$14</f>
        <v>Jack Altena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2</v>
      </c>
      <c r="M16" s="126" t="str">
        <f>Scheids!$F$14</f>
        <v>Jack Altena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1</v>
      </c>
      <c r="K17" s="124" t="s">
        <v>294</v>
      </c>
      <c r="L17" s="125">
        <v>2</v>
      </c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1</v>
      </c>
      <c r="K18" s="124" t="s">
        <v>294</v>
      </c>
      <c r="L18" s="125">
        <v>2</v>
      </c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1</v>
      </c>
      <c r="K19" s="124" t="s">
        <v>294</v>
      </c>
      <c r="L19" s="125">
        <v>2</v>
      </c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1</v>
      </c>
      <c r="K20" s="124" t="s">
        <v>294</v>
      </c>
      <c r="L20" s="125">
        <v>2</v>
      </c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2</v>
      </c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1</v>
      </c>
      <c r="K22" s="124" t="s">
        <v>294</v>
      </c>
      <c r="L22" s="125">
        <v>2</v>
      </c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2</v>
      </c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4</v>
      </c>
      <c r="K24" s="124" t="s">
        <v>294</v>
      </c>
      <c r="L24" s="125">
        <v>2</v>
      </c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1</v>
      </c>
      <c r="K25" s="124" t="s">
        <v>294</v>
      </c>
      <c r="L25" s="125">
        <v>2</v>
      </c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1</v>
      </c>
      <c r="K26" s="124" t="s">
        <v>294</v>
      </c>
      <c r="L26" s="125">
        <v>2</v>
      </c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1</v>
      </c>
      <c r="K27" s="124" t="s">
        <v>294</v>
      </c>
      <c r="L27" s="125">
        <v>2</v>
      </c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1</v>
      </c>
      <c r="K28" s="124" t="s">
        <v>294</v>
      </c>
      <c r="L28" s="125">
        <v>2</v>
      </c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1</v>
      </c>
      <c r="K29" s="124" t="s">
        <v>294</v>
      </c>
      <c r="L29" s="125">
        <v>2</v>
      </c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4</v>
      </c>
      <c r="K30" s="124" t="s">
        <v>294</v>
      </c>
      <c r="L30" s="125">
        <v>2</v>
      </c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1</v>
      </c>
      <c r="K31" s="124" t="s">
        <v>294</v>
      </c>
      <c r="L31" s="125">
        <v>2</v>
      </c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1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1</v>
      </c>
      <c r="K33" s="124" t="s">
        <v>294</v>
      </c>
      <c r="L33" s="125">
        <v>2</v>
      </c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2</v>
      </c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>
        <v>3</v>
      </c>
      <c r="K35" s="124" t="s">
        <v>294</v>
      </c>
      <c r="L35" s="125">
        <v>2</v>
      </c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>
        <v>1</v>
      </c>
      <c r="K36" s="124" t="s">
        <v>294</v>
      </c>
      <c r="L36" s="125">
        <v>2</v>
      </c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>
        <v>4</v>
      </c>
      <c r="K37" s="124" t="s">
        <v>294</v>
      </c>
      <c r="L37" s="125">
        <v>2</v>
      </c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>
        <v>1</v>
      </c>
      <c r="K38" s="139" t="s">
        <v>294</v>
      </c>
      <c r="L38" s="140">
        <v>2</v>
      </c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990E-095C-4200-9113-7484F72BDBB0}">
  <sheetPr codeName="Blad12"/>
  <dimension ref="A1:X48"/>
  <sheetViews>
    <sheetView topLeftCell="A24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1</v>
      </c>
      <c r="K11" s="110" t="s">
        <v>294</v>
      </c>
      <c r="L11" s="111">
        <v>2</v>
      </c>
      <c r="M11" s="112" t="str">
        <f>Scheids!$D$15</f>
        <v>Rien Beenen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2</v>
      </c>
      <c r="M12" s="126" t="str">
        <f>Scheids!$D$15</f>
        <v>Rien Beenen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2</v>
      </c>
      <c r="K13" s="124" t="s">
        <v>294</v>
      </c>
      <c r="L13" s="125">
        <v>2</v>
      </c>
      <c r="M13" s="126" t="str">
        <f>Scheids!$D$15</f>
        <v>Rien Beenen</v>
      </c>
      <c r="N13" s="127"/>
      <c r="O13" s="128"/>
      <c r="Q13" s="129"/>
      <c r="R13" s="129"/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2</v>
      </c>
      <c r="M14" s="126" t="str">
        <f>Scheids!$F$15</f>
        <v>Anita Schouten</v>
      </c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2</v>
      </c>
      <c r="M15" s="126" t="str">
        <f>Scheids!$F$15</f>
        <v>Anita Schouten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1</v>
      </c>
      <c r="K16" s="124" t="s">
        <v>294</v>
      </c>
      <c r="L16" s="125">
        <v>2</v>
      </c>
      <c r="M16" s="126" t="str">
        <f>Scheids!$F$15</f>
        <v>Anita Schouten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2</v>
      </c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1</v>
      </c>
      <c r="K18" s="124" t="s">
        <v>294</v>
      </c>
      <c r="L18" s="125">
        <v>2</v>
      </c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2</v>
      </c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1</v>
      </c>
      <c r="K20" s="124" t="s">
        <v>294</v>
      </c>
      <c r="L20" s="125">
        <v>2</v>
      </c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2</v>
      </c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1</v>
      </c>
      <c r="K22" s="124" t="s">
        <v>294</v>
      </c>
      <c r="L22" s="125">
        <v>2</v>
      </c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2</v>
      </c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4</v>
      </c>
      <c r="K24" s="124" t="s">
        <v>294</v>
      </c>
      <c r="L24" s="125">
        <v>2</v>
      </c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1</v>
      </c>
      <c r="K25" s="124" t="s">
        <v>294</v>
      </c>
      <c r="L25" s="125">
        <v>2</v>
      </c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2</v>
      </c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2</v>
      </c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1</v>
      </c>
      <c r="K28" s="124" t="s">
        <v>294</v>
      </c>
      <c r="L28" s="125">
        <v>2</v>
      </c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2</v>
      </c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4</v>
      </c>
      <c r="K30" s="124" t="s">
        <v>294</v>
      </c>
      <c r="L30" s="125">
        <v>2</v>
      </c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1</v>
      </c>
      <c r="K31" s="124" t="s">
        <v>294</v>
      </c>
      <c r="L31" s="125">
        <v>2</v>
      </c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1</v>
      </c>
      <c r="K32" s="124" t="s">
        <v>294</v>
      </c>
      <c r="L32" s="125">
        <v>2</v>
      </c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1</v>
      </c>
      <c r="K33" s="124" t="s">
        <v>294</v>
      </c>
      <c r="L33" s="125">
        <v>2</v>
      </c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2</v>
      </c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>
        <v>3</v>
      </c>
      <c r="K35" s="124" t="s">
        <v>294</v>
      </c>
      <c r="L35" s="125">
        <v>2</v>
      </c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>
        <v>1</v>
      </c>
      <c r="K36" s="124" t="s">
        <v>294</v>
      </c>
      <c r="L36" s="125">
        <v>2</v>
      </c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>
        <v>4</v>
      </c>
      <c r="K37" s="124" t="s">
        <v>294</v>
      </c>
      <c r="L37" s="125">
        <v>2</v>
      </c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>
        <v>1</v>
      </c>
      <c r="K38" s="139" t="s">
        <v>294</v>
      </c>
      <c r="L38" s="140">
        <v>2</v>
      </c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58"/>
      <c r="M44" s="156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F9B47-F508-44B6-B6B8-BBD337EF6744}">
  <sheetPr codeName="Blad13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1</v>
      </c>
      <c r="K11" s="110" t="s">
        <v>294</v>
      </c>
      <c r="L11" s="111">
        <v>2</v>
      </c>
      <c r="M11" s="112" t="str">
        <f>Scheids!$D$16</f>
        <v>Diana Schouten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1</v>
      </c>
      <c r="K12" s="124" t="s">
        <v>294</v>
      </c>
      <c r="L12" s="125">
        <v>2</v>
      </c>
      <c r="M12" s="126" t="str">
        <f>Scheids!$D$16</f>
        <v>Diana Schouten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2</v>
      </c>
      <c r="K13" s="124" t="s">
        <v>294</v>
      </c>
      <c r="L13" s="125">
        <v>2</v>
      </c>
      <c r="M13" s="126" t="str">
        <f>Scheids!$D$16</f>
        <v>Diana Schouten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1</v>
      </c>
      <c r="K15" s="124" t="s">
        <v>294</v>
      </c>
      <c r="L15" s="125">
        <v>2</v>
      </c>
      <c r="M15" s="126" t="str">
        <f>Scheids!$F$16</f>
        <v>Frank Maat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1</v>
      </c>
      <c r="K16" s="124" t="s">
        <v>294</v>
      </c>
      <c r="L16" s="125">
        <v>2</v>
      </c>
      <c r="M16" s="126" t="str">
        <f>Scheids!$F$16</f>
        <v>Frank Maat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1</v>
      </c>
      <c r="K17" s="124" t="s">
        <v>294</v>
      </c>
      <c r="L17" s="125">
        <v>2</v>
      </c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1</v>
      </c>
      <c r="K19" s="124" t="s">
        <v>294</v>
      </c>
      <c r="L19" s="125">
        <v>2</v>
      </c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1</v>
      </c>
      <c r="K20" s="124" t="s">
        <v>294</v>
      </c>
      <c r="L20" s="125">
        <v>2</v>
      </c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1</v>
      </c>
      <c r="K21" s="124" t="s">
        <v>294</v>
      </c>
      <c r="L21" s="125">
        <v>2</v>
      </c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2</v>
      </c>
      <c r="K23" s="124" t="s">
        <v>294</v>
      </c>
      <c r="L23" s="125">
        <v>2</v>
      </c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4</v>
      </c>
      <c r="K24" s="124" t="s">
        <v>294</v>
      </c>
      <c r="L24" s="125">
        <v>2</v>
      </c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1</v>
      </c>
      <c r="K25" s="124" t="s">
        <v>294</v>
      </c>
      <c r="L25" s="125">
        <v>2</v>
      </c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1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2</v>
      </c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4</v>
      </c>
      <c r="K30" s="124" t="s">
        <v>294</v>
      </c>
      <c r="L30" s="125">
        <v>2</v>
      </c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1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1</v>
      </c>
      <c r="K33" s="124" t="s">
        <v>294</v>
      </c>
      <c r="L33" s="125">
        <v>2</v>
      </c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1</v>
      </c>
      <c r="K34" s="124" t="s">
        <v>294</v>
      </c>
      <c r="L34" s="125">
        <v>2</v>
      </c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>
        <v>1</v>
      </c>
      <c r="K36" s="124" t="s">
        <v>294</v>
      </c>
      <c r="L36" s="125">
        <v>2</v>
      </c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>
        <v>4</v>
      </c>
      <c r="K37" s="124" t="s">
        <v>294</v>
      </c>
      <c r="L37" s="125">
        <v>2</v>
      </c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>
        <v>1</v>
      </c>
      <c r="K38" s="139" t="s">
        <v>294</v>
      </c>
      <c r="L38" s="140">
        <v>2</v>
      </c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37DC-85A3-44FC-A237-61DD98E0C3E9}">
  <sheetPr codeName="Blad14"/>
  <dimension ref="A1:X48"/>
  <sheetViews>
    <sheetView topLeftCell="A25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2</v>
      </c>
      <c r="M11" s="112" t="str">
        <f>Scheids!$D$17</f>
        <v>Patrick vd Helm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1</v>
      </c>
      <c r="K12" s="124" t="s">
        <v>294</v>
      </c>
      <c r="L12" s="125">
        <v>2</v>
      </c>
      <c r="M12" s="126" t="str">
        <f>Scheids!$D$17</f>
        <v>Patrick vd Helm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2</v>
      </c>
      <c r="K13" s="124" t="s">
        <v>294</v>
      </c>
      <c r="L13" s="125">
        <v>2</v>
      </c>
      <c r="M13" s="126" t="str">
        <f>Scheids!$D$17</f>
        <v>Patrick vd Helm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2</v>
      </c>
      <c r="M15" s="126" t="str">
        <f>Scheids!$F$17</f>
        <v>Quinten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1</v>
      </c>
      <c r="K16" s="124" t="s">
        <v>294</v>
      </c>
      <c r="L16" s="125">
        <v>2</v>
      </c>
      <c r="M16" s="126" t="str">
        <f>Scheids!$F$17</f>
        <v>Quinten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1</v>
      </c>
      <c r="K17" s="124" t="s">
        <v>294</v>
      </c>
      <c r="L17" s="125">
        <v>2</v>
      </c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1</v>
      </c>
      <c r="K19" s="124" t="s">
        <v>294</v>
      </c>
      <c r="L19" s="125">
        <v>2</v>
      </c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1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1</v>
      </c>
      <c r="K21" s="124" t="s">
        <v>294</v>
      </c>
      <c r="L21" s="125">
        <v>2</v>
      </c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2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2</v>
      </c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1</v>
      </c>
      <c r="K25" s="124" t="s">
        <v>294</v>
      </c>
      <c r="L25" s="125">
        <v>2</v>
      </c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1</v>
      </c>
      <c r="K27" s="124" t="s">
        <v>294</v>
      </c>
      <c r="L27" s="125">
        <v>2</v>
      </c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1</v>
      </c>
      <c r="K29" s="124" t="s">
        <v>294</v>
      </c>
      <c r="L29" s="125">
        <v>2</v>
      </c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2</v>
      </c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1</v>
      </c>
      <c r="K32" s="124" t="s">
        <v>294</v>
      </c>
      <c r="L32" s="125">
        <v>2</v>
      </c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1</v>
      </c>
      <c r="K33" s="124" t="s">
        <v>294</v>
      </c>
      <c r="L33" s="125">
        <v>2</v>
      </c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1</v>
      </c>
      <c r="K34" s="124" t="s">
        <v>294</v>
      </c>
      <c r="L34" s="125">
        <v>2</v>
      </c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>
        <v>1</v>
      </c>
      <c r="K36" s="124" t="s">
        <v>294</v>
      </c>
      <c r="L36" s="125">
        <v>2</v>
      </c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>
        <v>4</v>
      </c>
      <c r="K37" s="124" t="s">
        <v>294</v>
      </c>
      <c r="L37" s="125">
        <v>2</v>
      </c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>
        <v>1</v>
      </c>
      <c r="K38" s="139" t="s">
        <v>294</v>
      </c>
      <c r="L38" s="140">
        <v>2</v>
      </c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3A9B-0AE8-4872-94BC-28B7A9F55B46}">
  <sheetPr codeName="Blad15"/>
  <dimension ref="A1:X48"/>
  <sheetViews>
    <sheetView topLeftCell="A21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1</v>
      </c>
      <c r="K11" s="110" t="s">
        <v>294</v>
      </c>
      <c r="L11" s="111">
        <v>2</v>
      </c>
      <c r="M11" s="112" t="str">
        <f>Scheids!$D$18</f>
        <v>Martin van Blitterswijk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1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2</v>
      </c>
      <c r="K13" s="124" t="s">
        <v>294</v>
      </c>
      <c r="L13" s="125">
        <v>2</v>
      </c>
      <c r="M13" s="126" t="str">
        <f>Scheids!$D$18</f>
        <v>Martin van Blitterswijk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2</v>
      </c>
      <c r="M15" s="126" t="str">
        <f>Scheids!$F$18</f>
        <v>Andrew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2</v>
      </c>
      <c r="M16" s="126" t="str">
        <f>Scheids!$F$18</f>
        <v>Andrew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2</v>
      </c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1</v>
      </c>
      <c r="K19" s="124" t="s">
        <v>294</v>
      </c>
      <c r="L19" s="125">
        <v>2</v>
      </c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1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1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2</v>
      </c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4</v>
      </c>
      <c r="K24" s="124" t="s">
        <v>294</v>
      </c>
      <c r="L24" s="125">
        <v>2</v>
      </c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1</v>
      </c>
      <c r="K25" s="124" t="s">
        <v>294</v>
      </c>
      <c r="L25" s="125">
        <v>2</v>
      </c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1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2</v>
      </c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4</v>
      </c>
      <c r="K30" s="124" t="s">
        <v>294</v>
      </c>
      <c r="L30" s="125">
        <v>2</v>
      </c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1</v>
      </c>
      <c r="K32" s="124" t="s">
        <v>294</v>
      </c>
      <c r="L32" s="125">
        <v>2</v>
      </c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1</v>
      </c>
      <c r="K33" s="124" t="s">
        <v>294</v>
      </c>
      <c r="L33" s="125">
        <v>2</v>
      </c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1</v>
      </c>
      <c r="K34" s="124" t="s">
        <v>294</v>
      </c>
      <c r="L34" s="125">
        <v>2</v>
      </c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>
        <v>1</v>
      </c>
      <c r="K36" s="124" t="s">
        <v>294</v>
      </c>
      <c r="L36" s="125">
        <v>2</v>
      </c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>
        <v>4</v>
      </c>
      <c r="K37" s="124" t="s">
        <v>294</v>
      </c>
      <c r="L37" s="125">
        <v>2</v>
      </c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>
        <v>1</v>
      </c>
      <c r="K38" s="139" t="s">
        <v>294</v>
      </c>
      <c r="L38" s="140">
        <v>2</v>
      </c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C9733-8DB1-4791-930E-77B2D2CCFB2C}">
  <sheetPr codeName="Blad16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1</v>
      </c>
      <c r="K11" s="110" t="s">
        <v>294</v>
      </c>
      <c r="L11" s="111">
        <v>2</v>
      </c>
      <c r="M11" s="112" t="str">
        <f>Scheids!$D$19</f>
        <v>John Kortekaas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1</v>
      </c>
      <c r="K12" s="124" t="s">
        <v>294</v>
      </c>
      <c r="L12" s="125">
        <v>2</v>
      </c>
      <c r="M12" s="126" t="str">
        <f>Scheids!$D$19</f>
        <v>John Kortekaas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2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1</v>
      </c>
      <c r="K15" s="124" t="s">
        <v>294</v>
      </c>
      <c r="L15" s="125">
        <v>2</v>
      </c>
      <c r="M15" s="126" t="str">
        <f>Scheids!$F$19</f>
        <v>Robert vd Bosch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1</v>
      </c>
      <c r="K16" s="124" t="s">
        <v>294</v>
      </c>
      <c r="L16" s="125">
        <v>2</v>
      </c>
      <c r="M16" s="126" t="str">
        <f>Scheids!$F$19</f>
        <v>Robert vd Bosch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2</v>
      </c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1</v>
      </c>
      <c r="K19" s="124" t="s">
        <v>294</v>
      </c>
      <c r="L19" s="125">
        <v>2</v>
      </c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1</v>
      </c>
      <c r="K20" s="124" t="s">
        <v>294</v>
      </c>
      <c r="L20" s="125">
        <v>2</v>
      </c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1</v>
      </c>
      <c r="K21" s="124" t="s">
        <v>294</v>
      </c>
      <c r="L21" s="125">
        <v>2</v>
      </c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2</v>
      </c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4</v>
      </c>
      <c r="K24" s="124" t="s">
        <v>294</v>
      </c>
      <c r="L24" s="125">
        <v>2</v>
      </c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1</v>
      </c>
      <c r="K25" s="124" t="s">
        <v>294</v>
      </c>
      <c r="L25" s="125">
        <v>2</v>
      </c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1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1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4</v>
      </c>
      <c r="K30" s="124" t="s">
        <v>294</v>
      </c>
      <c r="L30" s="125">
        <v>2</v>
      </c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2</v>
      </c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2</v>
      </c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1</v>
      </c>
      <c r="K34" s="124" t="s">
        <v>294</v>
      </c>
      <c r="L34" s="125">
        <v>2</v>
      </c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>
        <v>1</v>
      </c>
      <c r="K36" s="124" t="s">
        <v>294</v>
      </c>
      <c r="L36" s="125">
        <v>2</v>
      </c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>
        <v>4</v>
      </c>
      <c r="K37" s="124" t="s">
        <v>294</v>
      </c>
      <c r="L37" s="125">
        <v>2</v>
      </c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>
        <v>1</v>
      </c>
      <c r="K38" s="139" t="s">
        <v>294</v>
      </c>
      <c r="L38" s="140">
        <v>2</v>
      </c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20B0-65BD-4157-90FE-4963603DF17F}">
  <sheetPr codeName="Blad17"/>
  <dimension ref="A1:X48"/>
  <sheetViews>
    <sheetView topLeftCell="A28" workbookViewId="0">
      <selection activeCell="J14" sqref="J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2</v>
      </c>
      <c r="M11" s="112" t="str">
        <f>Scheids!$D$20</f>
        <v>Bas Kers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1</v>
      </c>
      <c r="K12" s="124" t="s">
        <v>294</v>
      </c>
      <c r="L12" s="125">
        <v>2</v>
      </c>
      <c r="M12" s="126" t="str">
        <f>Scheids!$D$20</f>
        <v>Bas Kers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2</v>
      </c>
      <c r="K13" s="124" t="s">
        <v>294</v>
      </c>
      <c r="L13" s="125">
        <v>2</v>
      </c>
      <c r="M13" s="126" t="str">
        <f>Scheids!$D$20</f>
        <v>Bas Kers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>
        <v>1</v>
      </c>
      <c r="K14" s="124"/>
      <c r="L14" s="125">
        <v>2</v>
      </c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1</v>
      </c>
      <c r="K15" s="124" t="s">
        <v>294</v>
      </c>
      <c r="L15" s="125">
        <v>2</v>
      </c>
      <c r="M15" s="126" t="str">
        <f>Scheids!$F$20</f>
        <v>Iris Klein Bog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2</v>
      </c>
      <c r="M16" s="126" t="str">
        <f>Scheids!$F$20</f>
        <v>Iris Klein Bog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1</v>
      </c>
      <c r="K17" s="124" t="s">
        <v>294</v>
      </c>
      <c r="L17" s="125">
        <v>2</v>
      </c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>
        <v>1</v>
      </c>
      <c r="K18" s="124"/>
      <c r="L18" s="125">
        <v>2</v>
      </c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1</v>
      </c>
      <c r="K19" s="124" t="s">
        <v>294</v>
      </c>
      <c r="L19" s="125">
        <v>2</v>
      </c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1</v>
      </c>
      <c r="K20" s="124" t="s">
        <v>294</v>
      </c>
      <c r="L20" s="125">
        <v>2</v>
      </c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1</v>
      </c>
      <c r="K21" s="124" t="s">
        <v>294</v>
      </c>
      <c r="L21" s="125">
        <v>2</v>
      </c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>
        <v>1</v>
      </c>
      <c r="K22" s="124"/>
      <c r="L22" s="125">
        <v>2</v>
      </c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2</v>
      </c>
      <c r="K23" s="124" t="s">
        <v>294</v>
      </c>
      <c r="L23" s="125">
        <v>2</v>
      </c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4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1</v>
      </c>
      <c r="K25" s="124" t="s">
        <v>294</v>
      </c>
      <c r="L25" s="125">
        <v>2</v>
      </c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>
        <v>1</v>
      </c>
      <c r="K26" s="124"/>
      <c r="L26" s="125">
        <v>2</v>
      </c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1</v>
      </c>
      <c r="K27" s="124" t="s">
        <v>294</v>
      </c>
      <c r="L27" s="125">
        <v>2</v>
      </c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>
        <v>1</v>
      </c>
      <c r="K28" s="124"/>
      <c r="L28" s="125">
        <v>2</v>
      </c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1</v>
      </c>
      <c r="K29" s="124" t="s">
        <v>294</v>
      </c>
      <c r="L29" s="125">
        <v>2</v>
      </c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4</v>
      </c>
      <c r="K30" s="124" t="s">
        <v>294</v>
      </c>
      <c r="L30" s="125">
        <v>2</v>
      </c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>
        <v>1</v>
      </c>
      <c r="K31" s="124"/>
      <c r="L31" s="125">
        <v>2</v>
      </c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1</v>
      </c>
      <c r="K32" s="124" t="s">
        <v>294</v>
      </c>
      <c r="L32" s="125">
        <v>2</v>
      </c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2</v>
      </c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1</v>
      </c>
      <c r="K34" s="124" t="s">
        <v>294</v>
      </c>
      <c r="L34" s="125">
        <v>2</v>
      </c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>
        <v>3</v>
      </c>
      <c r="K35" s="124"/>
      <c r="L35" s="125">
        <v>2</v>
      </c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>
        <v>1</v>
      </c>
      <c r="K36" s="124" t="s">
        <v>294</v>
      </c>
      <c r="L36" s="125">
        <v>2</v>
      </c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>
        <v>4</v>
      </c>
      <c r="K37" s="124" t="s">
        <v>294</v>
      </c>
      <c r="L37" s="125">
        <v>2</v>
      </c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>
        <v>1</v>
      </c>
      <c r="K38" s="139" t="s">
        <v>294</v>
      </c>
      <c r="L38" s="140">
        <v>2</v>
      </c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7</v>
      </c>
      <c r="R41" s="152">
        <f>COUNTIFS(E41:N41,3)</f>
        <v>3</v>
      </c>
      <c r="S41" s="152">
        <f>COUNTIFS(E41:N41,0)</f>
        <v>3</v>
      </c>
      <c r="T41" s="152">
        <f>COUNTIFS(E41:N41,1)</f>
        <v>1</v>
      </c>
      <c r="U41" s="152">
        <f>J11+L18+J21+J23+L29+J34+L36</f>
        <v>11</v>
      </c>
      <c r="V41" s="152">
        <f>L11+J18+L21+L23+J29+L34+J36</f>
        <v>11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0</v>
      </c>
      <c r="O42" s="157" cm="1">
        <f t="array" ref="O42">IF(SUMPRODUCT(--(E42:N42&lt;&gt;""))&lt;&gt;0,SUM(E42:N42),"")</f>
        <v>6</v>
      </c>
      <c r="Q42" s="152">
        <f t="shared" si="0"/>
        <v>7</v>
      </c>
      <c r="R42" s="152">
        <f t="shared" ref="R42:R48" si="2">COUNTIFS(E42:N42,3)</f>
        <v>2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14</v>
      </c>
      <c r="W42" s="152">
        <f>R11+Q15+R19+Q25+Q28+Q33+R37</f>
        <v>0</v>
      </c>
      <c r="X42" s="129">
        <f t="shared" si="1"/>
        <v>7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>
        <f>IF(AND($J$35&lt;&gt;"",$L$35&lt;&gt;""),IF($J$35&lt;$L$35,3,IF($J$35=$L$35,1,0)),"")</f>
        <v>0</v>
      </c>
      <c r="O43" s="157" cm="1">
        <f t="array" ref="O43">IF(SUMPRODUCT(--(E43:N43&lt;&gt;""))&lt;&gt;0,SUM(E43:N43),"")</f>
        <v>4</v>
      </c>
      <c r="Q43" s="152">
        <f t="shared" si="0"/>
        <v>7</v>
      </c>
      <c r="R43" s="152">
        <f t="shared" si="2"/>
        <v>1</v>
      </c>
      <c r="S43" s="152">
        <f t="shared" si="3"/>
        <v>5</v>
      </c>
      <c r="T43" s="152">
        <f t="shared" si="4"/>
        <v>1</v>
      </c>
      <c r="U43" s="152">
        <f>J12+L15+J20+L23+J27+J32+L35</f>
        <v>10</v>
      </c>
      <c r="V43" s="152">
        <f>L12+J15+L20+J23+L27+L32+J35</f>
        <v>14</v>
      </c>
      <c r="W43" s="152">
        <f>Q12+R15+Q20+R23+Q27+Q32+R35</f>
        <v>0</v>
      </c>
      <c r="X43" s="129">
        <f t="shared" si="1"/>
        <v>8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>
        <f>IF(AND($J$31&lt;&gt;"",$L$31&lt;&gt;""),IF($J$31&lt;$L$31,3,IF($J$31=$L$31,1,0)),"")</f>
        <v>3</v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9</v>
      </c>
      <c r="Q44" s="152">
        <f t="shared" si="0"/>
        <v>7</v>
      </c>
      <c r="R44" s="152">
        <f t="shared" si="2"/>
        <v>3</v>
      </c>
      <c r="S44" s="152">
        <f t="shared" si="3"/>
        <v>4</v>
      </c>
      <c r="T44" s="152">
        <f t="shared" si="4"/>
        <v>0</v>
      </c>
      <c r="U44" s="152">
        <f>L12+J16+J19+L24+J29+L31+L38</f>
        <v>11</v>
      </c>
      <c r="V44" s="152">
        <f>J12+L16+L19+J24+L29+J31+J38</f>
        <v>13</v>
      </c>
      <c r="W44" s="152">
        <f>R12+Q16+Q19+R24+Q29+R31+R38</f>
        <v>0</v>
      </c>
      <c r="X44" s="129">
        <f t="shared" si="1"/>
        <v>6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3</v>
      </c>
      <c r="O45" s="157" cm="1">
        <f t="array" ref="O45">IF(SUMPRODUCT(--(E45:N45&lt;&gt;""))&lt;&gt;0,SUM(E45:N45),"")</f>
        <v>13</v>
      </c>
      <c r="Q45" s="152">
        <f t="shared" si="0"/>
        <v>7</v>
      </c>
      <c r="R45" s="152">
        <f t="shared" si="2"/>
        <v>4</v>
      </c>
      <c r="S45" s="152">
        <f t="shared" si="3"/>
        <v>2</v>
      </c>
      <c r="T45" s="152">
        <f t="shared" si="4"/>
        <v>1</v>
      </c>
      <c r="U45" s="152">
        <f>J13+L16+L20+J26+L30+L34+J37</f>
        <v>15</v>
      </c>
      <c r="V45" s="152">
        <f>L13+J16+J20+L26+J30+J34+L37</f>
        <v>13</v>
      </c>
      <c r="W45" s="152">
        <f>Q13+R16+R20+Q26+R30+R34+Q37</f>
        <v>0</v>
      </c>
      <c r="X45" s="129">
        <f t="shared" si="1"/>
        <v>3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0</v>
      </c>
      <c r="G46" s="167"/>
      <c r="H46" s="168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13</v>
      </c>
      <c r="V46" s="152">
        <f>J13+L17+L22+L24+J27+J33+L36</f>
        <v>12</v>
      </c>
      <c r="W46" s="152">
        <f>R13+Q17+Q22+Q24+R27+R33+Q36</f>
        <v>0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15</v>
      </c>
      <c r="Q47" s="152">
        <f t="shared" si="0"/>
        <v>7</v>
      </c>
      <c r="R47" s="152">
        <f t="shared" si="2"/>
        <v>5</v>
      </c>
      <c r="S47" s="152">
        <f t="shared" si="3"/>
        <v>2</v>
      </c>
      <c r="T47" s="152">
        <f t="shared" si="4"/>
        <v>0</v>
      </c>
      <c r="U47" s="152">
        <f>J14+L17+L21+L25+J30+L32+J38</f>
        <v>14</v>
      </c>
      <c r="V47" s="152">
        <f>L14+J17+J21+J25+L30+J32+L38</f>
        <v>10</v>
      </c>
      <c r="W47" s="152">
        <f>Q14+R17+R21+R25+Q30+R32+Q38</f>
        <v>0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3</v>
      </c>
      <c r="O48" s="157" cm="1">
        <f t="array" ref="O48">IF(SUMPRODUCT(--(E48:N48&lt;&gt;""))&lt;&gt;0,SUM(E48:N48),"")</f>
        <v>15</v>
      </c>
      <c r="Q48" s="152">
        <f t="shared" si="0"/>
        <v>7</v>
      </c>
      <c r="R48" s="152">
        <f t="shared" si="2"/>
        <v>5</v>
      </c>
      <c r="S48" s="152">
        <f t="shared" si="3"/>
        <v>2</v>
      </c>
      <c r="T48" s="152">
        <f t="shared" si="4"/>
        <v>0</v>
      </c>
      <c r="U48" s="152">
        <f>L14+J18+L22+L26+L28+J31+J35</f>
        <v>13</v>
      </c>
      <c r="V48" s="152">
        <f>J14+L18+J22+J26+J28+L31+L35</f>
        <v>10</v>
      </c>
      <c r="W48" s="152">
        <f>+R14+Q18+R22+R26+R28+Q31+Q35</f>
        <v>0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3EA38-DA00-4E00-8E48-92F7D5507951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3195-12D8-4C54-BBEC-5539DBF6847B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709C3-1C0B-4082-A84D-BEFFDFCBBD67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BA47D-1200-4564-ADC3-5970093F699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0BB19-E63D-45F5-B2FB-B097116786D0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0F607-F2DF-4667-9096-414BEAD14BFA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26B3-A5F9-4866-B6C6-570CA8785AD2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940AF-AEA8-4B8F-B937-28F5740668A6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11D47-8FA8-473F-9434-8DFFCCDF4889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CBD5-121F-4A08-B1AA-2B6158937B11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BBC33-10A0-4D79-B8FA-8CF4FA8DF50B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9DB6D-954D-4C81-80CB-FD8C999FA6F3}">
  <sheetPr codeName="Blad32"/>
  <dimension ref="A1:Y55"/>
  <sheetViews>
    <sheetView showGridLines="0" topLeftCell="A6" zoomScale="70" zoomScaleNormal="70" workbookViewId="0">
      <selection activeCell="N28" sqref="N2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FF9CB-5CC8-4F78-B8D9-2F6AC9E99C60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E9A8-B399-4659-AFA9-53E1F7A99A4B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dcterms:created xsi:type="dcterms:W3CDTF">2026-04-14T18:17:46Z</dcterms:created>
  <dcterms:modified xsi:type="dcterms:W3CDTF">2026-04-14T18:17:48Z</dcterms:modified>
</cp:coreProperties>
</file>