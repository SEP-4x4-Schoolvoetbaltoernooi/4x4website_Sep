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J\4x4SEP\"/>
    </mc:Choice>
  </mc:AlternateContent>
  <xr:revisionPtr revIDLastSave="0" documentId="13_ncr:1_{3D94CE41-6D14-4571-82D8-4293D4EBE90C}" xr6:coauthVersionLast="47" xr6:coauthVersionMax="47" xr10:uidLastSave="{00000000-0000-0000-0000-000000000000}"/>
  <bookViews>
    <workbookView xWindow="-120" yWindow="-120" windowWidth="29040" windowHeight="15840" tabRatio="614" activeTab="4" xr2:uid="{00000000-000D-0000-FFFF-FFFF00000000}"/>
  </bookViews>
  <sheets>
    <sheet name="Scholen" sheetId="4" r:id="rId1"/>
    <sheet name="Teams" sheetId="65" r:id="rId2"/>
    <sheet name="Sportiviteit" sheetId="66" r:id="rId3"/>
    <sheet name="Scheids" sheetId="6" r:id="rId4"/>
    <sheet name="PouleA" sheetId="1" r:id="rId5"/>
    <sheet name="PouleB" sheetId="5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r:id="rId20"/>
    <sheet name="PouleQ" sheetId="21" r:id="rId21"/>
    <sheet name="PouleR" sheetId="48" r:id="rId22"/>
    <sheet name="PouleS" sheetId="49" r:id="rId23"/>
    <sheet name="PouleT" sheetId="50" state="hidden" r:id="rId24"/>
    <sheet name="PouleU" sheetId="51" state="hidden" r:id="rId25"/>
    <sheet name="PouleV" sheetId="55" state="hidden" r:id="rId26"/>
    <sheet name="PouleW" sheetId="54" state="hidden" r:id="rId27"/>
    <sheet name="PouleX" sheetId="56" state="hidden" r:id="rId28"/>
    <sheet name="PouleY" sheetId="57" state="hidden" r:id="rId29"/>
    <sheet name="PouleZ" sheetId="58" state="hidden" r:id="rId30"/>
    <sheet name="Finales1" sheetId="64" r:id="rId31"/>
    <sheet name="Finales2" sheetId="62" r:id="rId32"/>
  </sheets>
  <definedNames>
    <definedName name="_xleta.AND" hidden="1" xlm="1">#NAME?</definedName>
    <definedName name="_xleta.IF" hidden="1" xlm="1">#NAME?</definedName>
    <definedName name="_xleta.RANK" hidden="1" xlm="1">#NAME?</definedName>
    <definedName name="_xlnm.Print_Area" localSheetId="30">Finales1!$A$1:$P$43</definedName>
    <definedName name="_xlnm.Print_Area" localSheetId="31">Finales2!$A$1:$P$49</definedName>
    <definedName name="_xlnm.Print_Area" localSheetId="4">PouleA!$A$1:$O$48</definedName>
    <definedName name="_xlnm.Print_Area" localSheetId="5">PouleB!$A$1:$O$48</definedName>
    <definedName name="_xlnm.Print_Area" localSheetId="6">PouleC!$A$1:$O$48</definedName>
    <definedName name="_xlnm.Print_Area" localSheetId="7">PouleD!$A$1:$O$48</definedName>
    <definedName name="_xlnm.Print_Area" localSheetId="8">PouleE!$A$1:$O$48</definedName>
    <definedName name="_xlnm.Print_Area" localSheetId="9">PouleF!$A$1:$O$48</definedName>
    <definedName name="_xlnm.Print_Area" localSheetId="10">PouleG!$A$1:$O$48</definedName>
    <definedName name="_xlnm.Print_Area" localSheetId="11">PouleH!$A$1:$O$48</definedName>
    <definedName name="_xlnm.Print_Area" localSheetId="12">PouleI!$A$1:$O$48</definedName>
    <definedName name="_xlnm.Print_Area" localSheetId="13">PouleJ!$A$1:$O$48</definedName>
    <definedName name="_xlnm.Print_Area" localSheetId="14">PouleK!$A$1:$O$48</definedName>
    <definedName name="_xlnm.Print_Area" localSheetId="15">PouleL!$A$1:$O$48</definedName>
    <definedName name="_xlnm.Print_Area" localSheetId="16">PouleM!$A$1:$O$48</definedName>
    <definedName name="_xlnm.Print_Area" localSheetId="17">PouleN!$A$1:$O$48</definedName>
    <definedName name="_xlnm.Print_Area" localSheetId="18">PouleO!$A$1:$O$48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Finales1!$1:$7</definedName>
    <definedName name="_xlnm.Print_Titles" localSheetId="31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8" i="48" l="1"/>
  <c r="M27" i="48"/>
  <c r="M26" i="48"/>
  <c r="M22" i="48"/>
  <c r="M21" i="48"/>
  <c r="M20" i="48"/>
  <c r="M14" i="48"/>
  <c r="M35" i="48"/>
  <c r="M31" i="48"/>
  <c r="M25" i="48"/>
  <c r="M24" i="48"/>
  <c r="M23" i="48"/>
  <c r="M18" i="48"/>
  <c r="M17" i="48"/>
  <c r="H35" i="48"/>
  <c r="E35" i="48"/>
  <c r="H31" i="48"/>
  <c r="E31" i="48"/>
  <c r="H28" i="48"/>
  <c r="E28" i="48"/>
  <c r="H26" i="48"/>
  <c r="E26" i="48"/>
  <c r="H22" i="48"/>
  <c r="E22" i="48"/>
  <c r="H18" i="48"/>
  <c r="E18" i="48"/>
  <c r="H14" i="48"/>
  <c r="E14" i="48"/>
  <c r="M28" i="21"/>
  <c r="M27" i="21"/>
  <c r="M26" i="21"/>
  <c r="M22" i="21"/>
  <c r="M21" i="21"/>
  <c r="M20" i="21"/>
  <c r="M14" i="21"/>
  <c r="M35" i="21"/>
  <c r="M31" i="21"/>
  <c r="M25" i="21"/>
  <c r="M24" i="21"/>
  <c r="M23" i="21"/>
  <c r="M18" i="21"/>
  <c r="M17" i="21"/>
  <c r="H35" i="21"/>
  <c r="E35" i="21"/>
  <c r="H31" i="21"/>
  <c r="E31" i="21"/>
  <c r="H28" i="21"/>
  <c r="E28" i="21"/>
  <c r="H26" i="21"/>
  <c r="E26" i="21"/>
  <c r="H22" i="21"/>
  <c r="E22" i="21"/>
  <c r="H18" i="21"/>
  <c r="E18" i="21"/>
  <c r="H14" i="21"/>
  <c r="E14" i="21"/>
  <c r="M28" i="20"/>
  <c r="M27" i="20"/>
  <c r="M26" i="20"/>
  <c r="M22" i="20"/>
  <c r="M21" i="20"/>
  <c r="M20" i="20"/>
  <c r="M14" i="20"/>
  <c r="M35" i="20"/>
  <c r="M31" i="20"/>
  <c r="M25" i="20"/>
  <c r="M24" i="20"/>
  <c r="M23" i="20"/>
  <c r="M18" i="20"/>
  <c r="M17" i="20"/>
  <c r="H35" i="20"/>
  <c r="E35" i="20"/>
  <c r="H31" i="20"/>
  <c r="E31" i="20"/>
  <c r="H28" i="20"/>
  <c r="E28" i="20"/>
  <c r="H26" i="20"/>
  <c r="E26" i="20"/>
  <c r="H22" i="20"/>
  <c r="E22" i="20"/>
  <c r="H18" i="20"/>
  <c r="E18" i="20"/>
  <c r="H14" i="20"/>
  <c r="E14" i="20"/>
  <c r="M28" i="19"/>
  <c r="M27" i="19"/>
  <c r="M26" i="19"/>
  <c r="M22" i="19"/>
  <c r="M21" i="19"/>
  <c r="M20" i="19"/>
  <c r="M14" i="19"/>
  <c r="M35" i="19"/>
  <c r="M31" i="19"/>
  <c r="M25" i="19"/>
  <c r="M24" i="19"/>
  <c r="M23" i="19"/>
  <c r="M18" i="19"/>
  <c r="M17" i="19"/>
  <c r="H35" i="19"/>
  <c r="E35" i="19"/>
  <c r="H31" i="19"/>
  <c r="E31" i="19"/>
  <c r="H28" i="19"/>
  <c r="E28" i="19"/>
  <c r="H26" i="19"/>
  <c r="E26" i="19"/>
  <c r="H22" i="19"/>
  <c r="E22" i="19"/>
  <c r="H18" i="19"/>
  <c r="E18" i="19"/>
  <c r="H14" i="19"/>
  <c r="E14" i="19"/>
  <c r="M28" i="18"/>
  <c r="M27" i="18"/>
  <c r="M26" i="18"/>
  <c r="M22" i="18"/>
  <c r="M21" i="18"/>
  <c r="M20" i="18"/>
  <c r="M14" i="18"/>
  <c r="M35" i="18"/>
  <c r="M31" i="18"/>
  <c r="M25" i="18"/>
  <c r="M24" i="18"/>
  <c r="M23" i="18"/>
  <c r="M18" i="18"/>
  <c r="M17" i="18"/>
  <c r="H35" i="18"/>
  <c r="E35" i="18"/>
  <c r="H31" i="18"/>
  <c r="E31" i="18"/>
  <c r="H28" i="18"/>
  <c r="E28" i="18"/>
  <c r="H26" i="18"/>
  <c r="E26" i="18"/>
  <c r="H22" i="18"/>
  <c r="E22" i="18"/>
  <c r="H18" i="18"/>
  <c r="E18" i="18"/>
  <c r="H14" i="18"/>
  <c r="E14" i="18"/>
  <c r="M25" i="50"/>
  <c r="M24" i="50"/>
  <c r="M23" i="50"/>
  <c r="M17" i="50"/>
  <c r="M27" i="50"/>
  <c r="M21" i="50"/>
  <c r="M20" i="50"/>
  <c r="M25" i="49"/>
  <c r="M24" i="49"/>
  <c r="M23" i="49"/>
  <c r="M17" i="49"/>
  <c r="M27" i="49"/>
  <c r="M21" i="49"/>
  <c r="M20" i="49"/>
  <c r="M25" i="12"/>
  <c r="M24" i="12"/>
  <c r="M23" i="12"/>
  <c r="M17" i="12"/>
  <c r="M27" i="12"/>
  <c r="M21" i="12"/>
  <c r="M20" i="12"/>
  <c r="M25" i="11"/>
  <c r="M24" i="11"/>
  <c r="M23" i="11"/>
  <c r="M17" i="11"/>
  <c r="M27" i="11"/>
  <c r="M21" i="11"/>
  <c r="M20" i="11"/>
  <c r="M25" i="10"/>
  <c r="M24" i="10"/>
  <c r="M23" i="10"/>
  <c r="M17" i="10"/>
  <c r="M27" i="10"/>
  <c r="M21" i="10"/>
  <c r="M20" i="10"/>
  <c r="M25" i="9"/>
  <c r="M24" i="9"/>
  <c r="M23" i="9"/>
  <c r="M17" i="9"/>
  <c r="M27" i="9"/>
  <c r="M21" i="9"/>
  <c r="M20" i="9"/>
  <c r="M25" i="8"/>
  <c r="M24" i="8"/>
  <c r="M23" i="8"/>
  <c r="M17" i="8"/>
  <c r="M27" i="8"/>
  <c r="M21" i="8"/>
  <c r="M20" i="8"/>
  <c r="M25" i="7"/>
  <c r="M24" i="7"/>
  <c r="M23" i="7"/>
  <c r="M17" i="7"/>
  <c r="M27" i="7"/>
  <c r="M21" i="7"/>
  <c r="M20" i="7"/>
  <c r="M25" i="5"/>
  <c r="M24" i="5"/>
  <c r="M23" i="5"/>
  <c r="M17" i="5"/>
  <c r="M27" i="5"/>
  <c r="M21" i="5"/>
  <c r="M20" i="5"/>
  <c r="M28" i="16"/>
  <c r="M27" i="16"/>
  <c r="M26" i="16"/>
  <c r="M22" i="16"/>
  <c r="M21" i="16"/>
  <c r="M20" i="16"/>
  <c r="M14" i="16"/>
  <c r="M35" i="16"/>
  <c r="M31" i="16"/>
  <c r="M25" i="16"/>
  <c r="M24" i="16"/>
  <c r="M23" i="16"/>
  <c r="M18" i="16"/>
  <c r="M17" i="16"/>
  <c r="M28" i="15"/>
  <c r="M27" i="15"/>
  <c r="M26" i="15"/>
  <c r="M22" i="15"/>
  <c r="M21" i="15"/>
  <c r="M20" i="15"/>
  <c r="M14" i="15"/>
  <c r="M35" i="15"/>
  <c r="M31" i="15"/>
  <c r="M25" i="15"/>
  <c r="M24" i="15"/>
  <c r="M23" i="15"/>
  <c r="M18" i="15"/>
  <c r="M17" i="15"/>
  <c r="M25" i="58"/>
  <c r="M24" i="58"/>
  <c r="M23" i="58"/>
  <c r="M17" i="58"/>
  <c r="M27" i="58"/>
  <c r="M21" i="58"/>
  <c r="M20" i="58"/>
  <c r="M25" i="57"/>
  <c r="M24" i="57"/>
  <c r="M23" i="57"/>
  <c r="M17" i="57"/>
  <c r="M27" i="57"/>
  <c r="M21" i="57"/>
  <c r="M20" i="57"/>
  <c r="M25" i="56"/>
  <c r="M24" i="56"/>
  <c r="M23" i="56"/>
  <c r="M17" i="56"/>
  <c r="M27" i="56"/>
  <c r="M21" i="56"/>
  <c r="M20" i="56"/>
  <c r="M25" i="54"/>
  <c r="M24" i="54"/>
  <c r="M23" i="54"/>
  <c r="M17" i="54"/>
  <c r="M27" i="54"/>
  <c r="M21" i="54"/>
  <c r="M20" i="54"/>
  <c r="M25" i="55"/>
  <c r="M24" i="55"/>
  <c r="M23" i="55"/>
  <c r="M17" i="55"/>
  <c r="M27" i="55"/>
  <c r="M21" i="55"/>
  <c r="M20" i="55"/>
  <c r="M25" i="51"/>
  <c r="M24" i="51"/>
  <c r="M23" i="51"/>
  <c r="M17" i="51"/>
  <c r="M27" i="51"/>
  <c r="M21" i="51"/>
  <c r="M20" i="51"/>
  <c r="H35" i="64"/>
  <c r="H36" i="64"/>
  <c r="E37" i="64"/>
  <c r="G26" i="65" l="1"/>
  <c r="AI26" i="65"/>
  <c r="AH26" i="65"/>
  <c r="AG26" i="65"/>
  <c r="AF26" i="65"/>
  <c r="AE26" i="65"/>
  <c r="AD26" i="65"/>
  <c r="AC26" i="65"/>
  <c r="AB26" i="65"/>
  <c r="AA26" i="65"/>
  <c r="Z26" i="65"/>
  <c r="X26" i="65"/>
  <c r="W26" i="65"/>
  <c r="V26" i="65"/>
  <c r="U26" i="65"/>
  <c r="T26" i="65"/>
  <c r="S26" i="65"/>
  <c r="R26" i="65"/>
  <c r="Q26" i="65"/>
  <c r="P26" i="65"/>
  <c r="O26" i="65"/>
  <c r="M26" i="65"/>
  <c r="L26" i="65"/>
  <c r="K26" i="65"/>
  <c r="J26" i="65"/>
  <c r="I26" i="65"/>
  <c r="AI32" i="65"/>
  <c r="AH32" i="65"/>
  <c r="AG32" i="65"/>
  <c r="AF32" i="65"/>
  <c r="AE32" i="65"/>
  <c r="AD32" i="65"/>
  <c r="AC32" i="65"/>
  <c r="AB32" i="65"/>
  <c r="AA32" i="65"/>
  <c r="Z32" i="65"/>
  <c r="X32" i="65"/>
  <c r="W32" i="65"/>
  <c r="V32" i="65"/>
  <c r="U32" i="65"/>
  <c r="T32" i="65"/>
  <c r="S32" i="65"/>
  <c r="R32" i="65"/>
  <c r="Q32" i="65"/>
  <c r="P32" i="65"/>
  <c r="O32" i="65"/>
  <c r="M32" i="65"/>
  <c r="L32" i="65"/>
  <c r="K32" i="65"/>
  <c r="J32" i="65"/>
  <c r="I32" i="65"/>
  <c r="G32" i="65"/>
  <c r="C14" i="6"/>
  <c r="C13" i="6"/>
  <c r="C12" i="6"/>
  <c r="C11" i="6"/>
  <c r="C10" i="6"/>
  <c r="C9" i="6"/>
  <c r="C8" i="6"/>
  <c r="C7" i="6"/>
  <c r="C6" i="6"/>
  <c r="C23" i="6"/>
  <c r="C22" i="6"/>
  <c r="C21" i="6"/>
  <c r="C20" i="6"/>
  <c r="C19" i="6"/>
  <c r="C18" i="6"/>
  <c r="C17" i="6"/>
  <c r="C16" i="6"/>
  <c r="C15" i="6"/>
  <c r="C31" i="6"/>
  <c r="C30" i="6"/>
  <c r="C29" i="6"/>
  <c r="C28" i="6"/>
  <c r="C27" i="6"/>
  <c r="C26" i="6"/>
  <c r="C24" i="6"/>
  <c r="C25" i="6"/>
  <c r="A48" i="58"/>
  <c r="A47" i="58"/>
  <c r="E38" i="58" s="1"/>
  <c r="A46" i="58"/>
  <c r="A45" i="58"/>
  <c r="A44" i="58"/>
  <c r="A43" i="58"/>
  <c r="A42" i="58"/>
  <c r="A41" i="58"/>
  <c r="N44" i="20"/>
  <c r="N44" i="21"/>
  <c r="N44" i="48"/>
  <c r="N44" i="49"/>
  <c r="N44" i="50"/>
  <c r="N44" i="51"/>
  <c r="N44" i="55"/>
  <c r="N44" i="54"/>
  <c r="N44" i="56"/>
  <c r="N44" i="57"/>
  <c r="N44" i="58"/>
  <c r="N44" i="19"/>
  <c r="M28" i="17"/>
  <c r="M27" i="17"/>
  <c r="M26" i="17"/>
  <c r="M22" i="17"/>
  <c r="M21" i="17"/>
  <c r="M20" i="17"/>
  <c r="M14" i="17"/>
  <c r="M35" i="17"/>
  <c r="M31" i="17"/>
  <c r="M25" i="17"/>
  <c r="M24" i="17"/>
  <c r="M23" i="17"/>
  <c r="M18" i="17"/>
  <c r="M17" i="17"/>
  <c r="H17" i="58" l="1"/>
  <c r="H21" i="58"/>
  <c r="H25" i="58"/>
  <c r="E30" i="58"/>
  <c r="H32" i="58"/>
  <c r="M28" i="66"/>
  <c r="G31" i="65"/>
  <c r="M31" i="66" s="1"/>
  <c r="G30" i="65"/>
  <c r="M30" i="66" s="1"/>
  <c r="G29" i="65"/>
  <c r="M29" i="66" s="1"/>
  <c r="G28" i="65"/>
  <c r="G27" i="65"/>
  <c r="M27" i="66" s="1"/>
  <c r="G25" i="65"/>
  <c r="M26" i="66" s="1"/>
  <c r="G24" i="65"/>
  <c r="M24" i="66" s="1"/>
  <c r="G23" i="65"/>
  <c r="M23" i="66" s="1"/>
  <c r="G22" i="65"/>
  <c r="M22" i="66" s="1"/>
  <c r="G21" i="65"/>
  <c r="M21" i="66" s="1"/>
  <c r="G20" i="65"/>
  <c r="M20" i="66" s="1"/>
  <c r="G19" i="65"/>
  <c r="M19" i="66" s="1"/>
  <c r="G18" i="65"/>
  <c r="M18" i="66" s="1"/>
  <c r="G17" i="65"/>
  <c r="M17" i="66" s="1"/>
  <c r="G16" i="65"/>
  <c r="M16" i="66" s="1"/>
  <c r="G15" i="65"/>
  <c r="M15" i="66" s="1"/>
  <c r="G14" i="65"/>
  <c r="M14" i="66" s="1"/>
  <c r="G13" i="65"/>
  <c r="M13" i="66" s="1"/>
  <c r="G12" i="65"/>
  <c r="M12" i="66" s="1"/>
  <c r="G11" i="65"/>
  <c r="M11" i="66" s="1"/>
  <c r="G10" i="65"/>
  <c r="M10" i="66" s="1"/>
  <c r="G9" i="65"/>
  <c r="M9" i="66" s="1"/>
  <c r="G8" i="65"/>
  <c r="M8" i="66" s="1"/>
  <c r="G7" i="65"/>
  <c r="M7" i="66" s="1"/>
  <c r="G6" i="65"/>
  <c r="M6" i="66" s="1"/>
  <c r="G5" i="65"/>
  <c r="M5" i="66" s="1"/>
  <c r="G4" i="65"/>
  <c r="M4" i="66" s="1"/>
  <c r="G3" i="65"/>
  <c r="M3" i="66" s="1"/>
  <c r="X31" i="65"/>
  <c r="X30" i="65"/>
  <c r="X29" i="65"/>
  <c r="X28" i="65"/>
  <c r="X27" i="65"/>
  <c r="X25" i="65"/>
  <c r="X24" i="65"/>
  <c r="X23" i="65"/>
  <c r="X22" i="65"/>
  <c r="X21" i="65"/>
  <c r="X20" i="65"/>
  <c r="X19" i="65"/>
  <c r="X18" i="65"/>
  <c r="X17" i="65"/>
  <c r="X16" i="65"/>
  <c r="X15" i="65"/>
  <c r="X14" i="65"/>
  <c r="X13" i="65"/>
  <c r="X12" i="65"/>
  <c r="X11" i="65"/>
  <c r="X10" i="65"/>
  <c r="X9" i="65"/>
  <c r="X8" i="65"/>
  <c r="X7" i="65"/>
  <c r="X6" i="65"/>
  <c r="X5" i="65"/>
  <c r="X4" i="65"/>
  <c r="X3" i="65"/>
  <c r="L3" i="65"/>
  <c r="AI31" i="65"/>
  <c r="AH31" i="65"/>
  <c r="AG31" i="65"/>
  <c r="AF31" i="65"/>
  <c r="AE31" i="65"/>
  <c r="AD31" i="65"/>
  <c r="AC31" i="65"/>
  <c r="AB31" i="65"/>
  <c r="AA31" i="65"/>
  <c r="Z31" i="65"/>
  <c r="AI30" i="65"/>
  <c r="AH30" i="65"/>
  <c r="AG30" i="65"/>
  <c r="AF30" i="65"/>
  <c r="AE30" i="65"/>
  <c r="AD30" i="65"/>
  <c r="AC30" i="65"/>
  <c r="AB30" i="65"/>
  <c r="AA30" i="65"/>
  <c r="Z30" i="65"/>
  <c r="AI29" i="65"/>
  <c r="AH29" i="65"/>
  <c r="AG29" i="65"/>
  <c r="AF29" i="65"/>
  <c r="AE29" i="65"/>
  <c r="AD29" i="65"/>
  <c r="AC29" i="65"/>
  <c r="AB29" i="65"/>
  <c r="AA29" i="65"/>
  <c r="Z29" i="65"/>
  <c r="AI28" i="65"/>
  <c r="AH28" i="65"/>
  <c r="AG28" i="65"/>
  <c r="AF28" i="65"/>
  <c r="AE28" i="65"/>
  <c r="AD28" i="65"/>
  <c r="AC28" i="65"/>
  <c r="AB28" i="65"/>
  <c r="AA28" i="65"/>
  <c r="Z28" i="65"/>
  <c r="AI27" i="65"/>
  <c r="AH27" i="65"/>
  <c r="AG27" i="65"/>
  <c r="AF27" i="65"/>
  <c r="AE27" i="65"/>
  <c r="AD27" i="65"/>
  <c r="AC27" i="65"/>
  <c r="AB27" i="65"/>
  <c r="AA27" i="65"/>
  <c r="Z27" i="65"/>
  <c r="AI25" i="65"/>
  <c r="AH25" i="65"/>
  <c r="AG25" i="65"/>
  <c r="AF25" i="65"/>
  <c r="AE25" i="65"/>
  <c r="AD25" i="65"/>
  <c r="AC25" i="65"/>
  <c r="AB25" i="65"/>
  <c r="AA25" i="65"/>
  <c r="Z25" i="65"/>
  <c r="AI24" i="65"/>
  <c r="AH24" i="65"/>
  <c r="AG24" i="65"/>
  <c r="AF24" i="65"/>
  <c r="AE24" i="65"/>
  <c r="AD24" i="65"/>
  <c r="AC24" i="65"/>
  <c r="AB24" i="65"/>
  <c r="AA24" i="65"/>
  <c r="Z24" i="65"/>
  <c r="AI23" i="65"/>
  <c r="AH23" i="65"/>
  <c r="AG23" i="65"/>
  <c r="AF23" i="65"/>
  <c r="AE23" i="65"/>
  <c r="AD23" i="65"/>
  <c r="AC23" i="65"/>
  <c r="AB23" i="65"/>
  <c r="AA23" i="65"/>
  <c r="Z23" i="65"/>
  <c r="AI22" i="65"/>
  <c r="AH22" i="65"/>
  <c r="AG22" i="65"/>
  <c r="AF22" i="65"/>
  <c r="AE22" i="65"/>
  <c r="AD22" i="65"/>
  <c r="AC22" i="65"/>
  <c r="AB22" i="65"/>
  <c r="AA22" i="65"/>
  <c r="Z22" i="65"/>
  <c r="AI21" i="65"/>
  <c r="AH21" i="65"/>
  <c r="AG21" i="65"/>
  <c r="AF21" i="65"/>
  <c r="AE21" i="65"/>
  <c r="AD21" i="65"/>
  <c r="AC21" i="65"/>
  <c r="AB21" i="65"/>
  <c r="AA21" i="65"/>
  <c r="Z21" i="65"/>
  <c r="AI20" i="65"/>
  <c r="AH20" i="65"/>
  <c r="AG20" i="65"/>
  <c r="AF20" i="65"/>
  <c r="AE20" i="65"/>
  <c r="AD20" i="65"/>
  <c r="AC20" i="65"/>
  <c r="AB20" i="65"/>
  <c r="AA20" i="65"/>
  <c r="Z20" i="65"/>
  <c r="AI19" i="65"/>
  <c r="AH19" i="65"/>
  <c r="AG19" i="65"/>
  <c r="AF19" i="65"/>
  <c r="AE19" i="65"/>
  <c r="AD19" i="65"/>
  <c r="AC19" i="65"/>
  <c r="AB19" i="65"/>
  <c r="AA19" i="65"/>
  <c r="Z19" i="65"/>
  <c r="AI18" i="65"/>
  <c r="AH18" i="65"/>
  <c r="AG18" i="65"/>
  <c r="AF18" i="65"/>
  <c r="AE18" i="65"/>
  <c r="AD18" i="65"/>
  <c r="AC18" i="65"/>
  <c r="AB18" i="65"/>
  <c r="AA18" i="65"/>
  <c r="Z18" i="65"/>
  <c r="AI17" i="65"/>
  <c r="AH17" i="65"/>
  <c r="AG17" i="65"/>
  <c r="AF17" i="65"/>
  <c r="AE17" i="65"/>
  <c r="AD17" i="65"/>
  <c r="AC17" i="65"/>
  <c r="AB17" i="65"/>
  <c r="AA17" i="65"/>
  <c r="Z17" i="65"/>
  <c r="AI16" i="65"/>
  <c r="AH16" i="65"/>
  <c r="AG16" i="65"/>
  <c r="AF16" i="65"/>
  <c r="AE16" i="65"/>
  <c r="AD16" i="65"/>
  <c r="AC16" i="65"/>
  <c r="AB16" i="65"/>
  <c r="AA16" i="65"/>
  <c r="Z16" i="65"/>
  <c r="AI15" i="65"/>
  <c r="AH15" i="65"/>
  <c r="AG15" i="65"/>
  <c r="AF15" i="65"/>
  <c r="AE15" i="65"/>
  <c r="AD15" i="65"/>
  <c r="AC15" i="65"/>
  <c r="AB15" i="65"/>
  <c r="AA15" i="65"/>
  <c r="Z15" i="65"/>
  <c r="AI14" i="65"/>
  <c r="AH14" i="65"/>
  <c r="AG14" i="65"/>
  <c r="AF14" i="65"/>
  <c r="AE14" i="65"/>
  <c r="AD14" i="65"/>
  <c r="AC14" i="65"/>
  <c r="AB14" i="65"/>
  <c r="AA14" i="65"/>
  <c r="Z14" i="65"/>
  <c r="AI13" i="65"/>
  <c r="AH13" i="65"/>
  <c r="AG13" i="65"/>
  <c r="AF13" i="65"/>
  <c r="AE13" i="65"/>
  <c r="AD13" i="65"/>
  <c r="AC13" i="65"/>
  <c r="AB13" i="65"/>
  <c r="AA13" i="65"/>
  <c r="Z13" i="65"/>
  <c r="AI12" i="65"/>
  <c r="AH12" i="65"/>
  <c r="AG12" i="65"/>
  <c r="AF12" i="65"/>
  <c r="AE12" i="65"/>
  <c r="AD12" i="65"/>
  <c r="AC12" i="65"/>
  <c r="AB12" i="65"/>
  <c r="AA12" i="65"/>
  <c r="Z12" i="65"/>
  <c r="AI11" i="65"/>
  <c r="AH11" i="65"/>
  <c r="AG11" i="65"/>
  <c r="AF11" i="65"/>
  <c r="AE11" i="65"/>
  <c r="AD11" i="65"/>
  <c r="AC11" i="65"/>
  <c r="AB11" i="65"/>
  <c r="AA11" i="65"/>
  <c r="Z11" i="65"/>
  <c r="AI10" i="65"/>
  <c r="AH10" i="65"/>
  <c r="AG10" i="65"/>
  <c r="AF10" i="65"/>
  <c r="AE10" i="65"/>
  <c r="AD10" i="65"/>
  <c r="AC10" i="65"/>
  <c r="AB10" i="65"/>
  <c r="AA10" i="65"/>
  <c r="Z10" i="65"/>
  <c r="AI9" i="65"/>
  <c r="AH9" i="65"/>
  <c r="AG9" i="65"/>
  <c r="AF9" i="65"/>
  <c r="AE9" i="65"/>
  <c r="AD9" i="65"/>
  <c r="AC9" i="65"/>
  <c r="AB9" i="65"/>
  <c r="AA9" i="65"/>
  <c r="Z9" i="65"/>
  <c r="AI8" i="65"/>
  <c r="AH8" i="65"/>
  <c r="AG8" i="65"/>
  <c r="AF8" i="65"/>
  <c r="AE8" i="65"/>
  <c r="AD8" i="65"/>
  <c r="AC8" i="65"/>
  <c r="AB8" i="65"/>
  <c r="AA8" i="65"/>
  <c r="Z8" i="65"/>
  <c r="AI7" i="65"/>
  <c r="AH7" i="65"/>
  <c r="AG7" i="65"/>
  <c r="AF7" i="65"/>
  <c r="AE7" i="65"/>
  <c r="AD7" i="65"/>
  <c r="AC7" i="65"/>
  <c r="AB7" i="65"/>
  <c r="AA7" i="65"/>
  <c r="Z7" i="65"/>
  <c r="AI6" i="65"/>
  <c r="AH6" i="65"/>
  <c r="AG6" i="65"/>
  <c r="AF6" i="65"/>
  <c r="AE6" i="65"/>
  <c r="AD6" i="65"/>
  <c r="AC6" i="65"/>
  <c r="AB6" i="65"/>
  <c r="AA6" i="65"/>
  <c r="Z6" i="65"/>
  <c r="AI5" i="65"/>
  <c r="AH5" i="65"/>
  <c r="AG5" i="65"/>
  <c r="AF5" i="65"/>
  <c r="AE5" i="65"/>
  <c r="AD5" i="65"/>
  <c r="AC5" i="65"/>
  <c r="AB5" i="65"/>
  <c r="AA5" i="65"/>
  <c r="Z5" i="65"/>
  <c r="AI4" i="65"/>
  <c r="AH4" i="65"/>
  <c r="AG4" i="65"/>
  <c r="AF4" i="65"/>
  <c r="AE4" i="65"/>
  <c r="AD4" i="65"/>
  <c r="AC4" i="65"/>
  <c r="AB4" i="65"/>
  <c r="AA4" i="65"/>
  <c r="Z4" i="65"/>
  <c r="AI3" i="65"/>
  <c r="AH3" i="65"/>
  <c r="AG3" i="65"/>
  <c r="AF3" i="65"/>
  <c r="AE3" i="65"/>
  <c r="AD3" i="65"/>
  <c r="AC3" i="65"/>
  <c r="AB3" i="65"/>
  <c r="V17" i="65"/>
  <c r="AA3" i="65"/>
  <c r="Z3" i="65"/>
  <c r="O4" i="65"/>
  <c r="P4" i="65"/>
  <c r="Q4" i="65"/>
  <c r="R4" i="65"/>
  <c r="S4" i="65"/>
  <c r="T4" i="65"/>
  <c r="U4" i="65"/>
  <c r="V4" i="65"/>
  <c r="W4" i="65"/>
  <c r="O5" i="65"/>
  <c r="P5" i="65"/>
  <c r="Q5" i="65"/>
  <c r="R5" i="65"/>
  <c r="S5" i="65"/>
  <c r="T5" i="65"/>
  <c r="U5" i="65"/>
  <c r="V5" i="65"/>
  <c r="W5" i="65"/>
  <c r="O6" i="65"/>
  <c r="P6" i="65"/>
  <c r="Q6" i="65"/>
  <c r="R6" i="65"/>
  <c r="S6" i="65"/>
  <c r="T6" i="65"/>
  <c r="U6" i="65"/>
  <c r="V6" i="65"/>
  <c r="W6" i="65"/>
  <c r="O7" i="65"/>
  <c r="P7" i="65"/>
  <c r="Q7" i="65"/>
  <c r="R7" i="65"/>
  <c r="S7" i="65"/>
  <c r="T7" i="65"/>
  <c r="U7" i="65"/>
  <c r="V7" i="65"/>
  <c r="W7" i="65"/>
  <c r="O8" i="65"/>
  <c r="P8" i="65"/>
  <c r="Q8" i="65"/>
  <c r="R8" i="65"/>
  <c r="S8" i="65"/>
  <c r="T8" i="65"/>
  <c r="U8" i="65"/>
  <c r="V8" i="65"/>
  <c r="W8" i="65"/>
  <c r="O9" i="65"/>
  <c r="P9" i="65"/>
  <c r="Q9" i="65"/>
  <c r="R9" i="65"/>
  <c r="S9" i="65"/>
  <c r="T9" i="65"/>
  <c r="U9" i="65"/>
  <c r="V9" i="65"/>
  <c r="W9" i="65"/>
  <c r="O10" i="65"/>
  <c r="P10" i="65"/>
  <c r="Q10" i="65"/>
  <c r="R10" i="65"/>
  <c r="S10" i="65"/>
  <c r="T10" i="65"/>
  <c r="U10" i="65"/>
  <c r="V10" i="65"/>
  <c r="W10" i="65"/>
  <c r="O11" i="65"/>
  <c r="P11" i="65"/>
  <c r="Q11" i="65"/>
  <c r="R11" i="65"/>
  <c r="S11" i="65"/>
  <c r="T11" i="65"/>
  <c r="U11" i="65"/>
  <c r="V11" i="65"/>
  <c r="W11" i="65"/>
  <c r="O12" i="65"/>
  <c r="P12" i="65"/>
  <c r="Q12" i="65"/>
  <c r="R12" i="65"/>
  <c r="S12" i="65"/>
  <c r="T12" i="65"/>
  <c r="U12" i="65"/>
  <c r="V12" i="65"/>
  <c r="W12" i="65"/>
  <c r="O13" i="65"/>
  <c r="P13" i="65"/>
  <c r="Q13" i="65"/>
  <c r="R13" i="65"/>
  <c r="S13" i="65"/>
  <c r="T13" i="65"/>
  <c r="U13" i="65"/>
  <c r="V13" i="65"/>
  <c r="W13" i="65"/>
  <c r="O14" i="65"/>
  <c r="P14" i="65"/>
  <c r="Q14" i="65"/>
  <c r="R14" i="65"/>
  <c r="S14" i="65"/>
  <c r="T14" i="65"/>
  <c r="U14" i="65"/>
  <c r="V14" i="65"/>
  <c r="W14" i="65"/>
  <c r="O15" i="65"/>
  <c r="P15" i="65"/>
  <c r="Q15" i="65"/>
  <c r="R15" i="65"/>
  <c r="S15" i="65"/>
  <c r="T15" i="65"/>
  <c r="U15" i="65"/>
  <c r="V15" i="65"/>
  <c r="W15" i="65"/>
  <c r="O16" i="65"/>
  <c r="P16" i="65"/>
  <c r="Q16" i="65"/>
  <c r="R16" i="65"/>
  <c r="S16" i="65"/>
  <c r="T16" i="65"/>
  <c r="U16" i="65"/>
  <c r="V16" i="65"/>
  <c r="W16" i="65"/>
  <c r="O17" i="65"/>
  <c r="P17" i="65"/>
  <c r="Q17" i="65"/>
  <c r="R17" i="65"/>
  <c r="S17" i="65"/>
  <c r="T17" i="65"/>
  <c r="U17" i="65"/>
  <c r="W17" i="65"/>
  <c r="O18" i="65"/>
  <c r="P18" i="65"/>
  <c r="Q18" i="65"/>
  <c r="R18" i="65"/>
  <c r="S18" i="65"/>
  <c r="T18" i="65"/>
  <c r="U18" i="65"/>
  <c r="V18" i="65"/>
  <c r="W18" i="65"/>
  <c r="O19" i="65"/>
  <c r="P19" i="65"/>
  <c r="Q19" i="65"/>
  <c r="R19" i="65"/>
  <c r="S19" i="65"/>
  <c r="T19" i="65"/>
  <c r="U19" i="65"/>
  <c r="V19" i="65"/>
  <c r="W19" i="65"/>
  <c r="O20" i="65"/>
  <c r="P20" i="65"/>
  <c r="Q20" i="65"/>
  <c r="R20" i="65"/>
  <c r="S20" i="65"/>
  <c r="T20" i="65"/>
  <c r="U20" i="65"/>
  <c r="V20" i="65"/>
  <c r="W20" i="65"/>
  <c r="O21" i="65"/>
  <c r="P21" i="65"/>
  <c r="Q21" i="65"/>
  <c r="R21" i="65"/>
  <c r="S21" i="65"/>
  <c r="T21" i="65"/>
  <c r="U21" i="65"/>
  <c r="V21" i="65"/>
  <c r="W21" i="65"/>
  <c r="O22" i="65"/>
  <c r="P22" i="65"/>
  <c r="Q22" i="65"/>
  <c r="R22" i="65"/>
  <c r="S22" i="65"/>
  <c r="T22" i="65"/>
  <c r="U22" i="65"/>
  <c r="V22" i="65"/>
  <c r="W22" i="65"/>
  <c r="O23" i="65"/>
  <c r="P23" i="65"/>
  <c r="Q23" i="65"/>
  <c r="R23" i="65"/>
  <c r="S23" i="65"/>
  <c r="T23" i="65"/>
  <c r="U23" i="65"/>
  <c r="V23" i="65"/>
  <c r="W23" i="65"/>
  <c r="O24" i="65"/>
  <c r="P24" i="65"/>
  <c r="Q24" i="65"/>
  <c r="R24" i="65"/>
  <c r="S24" i="65"/>
  <c r="T24" i="65"/>
  <c r="U24" i="65"/>
  <c r="V24" i="65"/>
  <c r="W24" i="65"/>
  <c r="O25" i="65"/>
  <c r="P25" i="65"/>
  <c r="Q25" i="65"/>
  <c r="R25" i="65"/>
  <c r="S25" i="65"/>
  <c r="T25" i="65"/>
  <c r="U25" i="65"/>
  <c r="V25" i="65"/>
  <c r="W25" i="65"/>
  <c r="O27" i="65"/>
  <c r="P27" i="65"/>
  <c r="Q27" i="65"/>
  <c r="R27" i="65"/>
  <c r="S27" i="65"/>
  <c r="T27" i="65"/>
  <c r="U27" i="65"/>
  <c r="V27" i="65"/>
  <c r="W27" i="65"/>
  <c r="O28" i="65"/>
  <c r="P28" i="65"/>
  <c r="Q28" i="65"/>
  <c r="R28" i="65"/>
  <c r="S28" i="65"/>
  <c r="T28" i="65"/>
  <c r="U28" i="65"/>
  <c r="V28" i="65"/>
  <c r="W28" i="65"/>
  <c r="O29" i="65"/>
  <c r="P29" i="65"/>
  <c r="Q29" i="65"/>
  <c r="R29" i="65"/>
  <c r="S29" i="65"/>
  <c r="T29" i="65"/>
  <c r="U29" i="65"/>
  <c r="V29" i="65"/>
  <c r="W29" i="65"/>
  <c r="O30" i="65"/>
  <c r="P30" i="65"/>
  <c r="Q30" i="65"/>
  <c r="R30" i="65"/>
  <c r="S30" i="65"/>
  <c r="T30" i="65"/>
  <c r="U30" i="65"/>
  <c r="V30" i="65"/>
  <c r="W30" i="65"/>
  <c r="O31" i="65"/>
  <c r="P31" i="65"/>
  <c r="Q31" i="65"/>
  <c r="R31" i="65"/>
  <c r="S31" i="65"/>
  <c r="T31" i="65"/>
  <c r="U31" i="65"/>
  <c r="V31" i="65"/>
  <c r="W31" i="65"/>
  <c r="W3" i="65"/>
  <c r="V3" i="65"/>
  <c r="U3" i="65"/>
  <c r="T3" i="65"/>
  <c r="S3" i="65"/>
  <c r="R3" i="65"/>
  <c r="Q3" i="65"/>
  <c r="P3" i="65"/>
  <c r="O3" i="65"/>
  <c r="I4" i="65"/>
  <c r="J4" i="65"/>
  <c r="K4" i="65"/>
  <c r="L4" i="65"/>
  <c r="M4" i="65"/>
  <c r="I5" i="65"/>
  <c r="J5" i="65"/>
  <c r="K5" i="65"/>
  <c r="L5" i="65"/>
  <c r="M5" i="65"/>
  <c r="I6" i="65"/>
  <c r="J6" i="65"/>
  <c r="K6" i="65"/>
  <c r="L6" i="65"/>
  <c r="M6" i="65"/>
  <c r="I7" i="65"/>
  <c r="J7" i="65"/>
  <c r="K7" i="65"/>
  <c r="L7" i="65"/>
  <c r="M7" i="65"/>
  <c r="I8" i="65"/>
  <c r="J8" i="65"/>
  <c r="K8" i="65"/>
  <c r="L8" i="65"/>
  <c r="M8" i="65"/>
  <c r="I9" i="65"/>
  <c r="J9" i="65"/>
  <c r="K9" i="65"/>
  <c r="L9" i="65"/>
  <c r="M9" i="65"/>
  <c r="I10" i="65"/>
  <c r="J10" i="65"/>
  <c r="K10" i="65"/>
  <c r="L10" i="65"/>
  <c r="M10" i="65"/>
  <c r="I11" i="65"/>
  <c r="J11" i="65"/>
  <c r="K11" i="65"/>
  <c r="L11" i="65"/>
  <c r="M11" i="65"/>
  <c r="I12" i="65"/>
  <c r="J12" i="65"/>
  <c r="K12" i="65"/>
  <c r="L12" i="65"/>
  <c r="M12" i="65"/>
  <c r="I13" i="65"/>
  <c r="J13" i="65"/>
  <c r="K13" i="65"/>
  <c r="L13" i="65"/>
  <c r="M13" i="65"/>
  <c r="I14" i="65"/>
  <c r="J14" i="65"/>
  <c r="K14" i="65"/>
  <c r="L14" i="65"/>
  <c r="M14" i="65"/>
  <c r="I15" i="65"/>
  <c r="J15" i="65"/>
  <c r="K15" i="65"/>
  <c r="L15" i="65"/>
  <c r="M15" i="65"/>
  <c r="I16" i="65"/>
  <c r="J16" i="65"/>
  <c r="K16" i="65"/>
  <c r="L16" i="65"/>
  <c r="M16" i="65"/>
  <c r="I17" i="65"/>
  <c r="J17" i="65"/>
  <c r="K17" i="65"/>
  <c r="L17" i="65"/>
  <c r="M17" i="65"/>
  <c r="I18" i="65"/>
  <c r="J18" i="65"/>
  <c r="K18" i="65"/>
  <c r="L18" i="65"/>
  <c r="M18" i="65"/>
  <c r="I19" i="65"/>
  <c r="J19" i="65"/>
  <c r="K19" i="65"/>
  <c r="L19" i="65"/>
  <c r="M19" i="65"/>
  <c r="I20" i="65"/>
  <c r="J20" i="65"/>
  <c r="K20" i="65"/>
  <c r="L20" i="65"/>
  <c r="M20" i="65"/>
  <c r="I21" i="65"/>
  <c r="J21" i="65"/>
  <c r="K21" i="65"/>
  <c r="L21" i="65"/>
  <c r="M21" i="65"/>
  <c r="I22" i="65"/>
  <c r="J22" i="65"/>
  <c r="K22" i="65"/>
  <c r="L22" i="65"/>
  <c r="M22" i="65"/>
  <c r="I23" i="65"/>
  <c r="J23" i="65"/>
  <c r="K23" i="65"/>
  <c r="L23" i="65"/>
  <c r="M23" i="65"/>
  <c r="I24" i="65"/>
  <c r="J24" i="65"/>
  <c r="K24" i="65"/>
  <c r="L24" i="65"/>
  <c r="M24" i="65"/>
  <c r="I25" i="65"/>
  <c r="J25" i="65"/>
  <c r="K25" i="65"/>
  <c r="L25" i="65"/>
  <c r="M25" i="65"/>
  <c r="I27" i="65"/>
  <c r="J27" i="65"/>
  <c r="K27" i="65"/>
  <c r="L27" i="65"/>
  <c r="M27" i="65"/>
  <c r="I28" i="65"/>
  <c r="J28" i="65"/>
  <c r="K28" i="65"/>
  <c r="L28" i="65"/>
  <c r="M28" i="65"/>
  <c r="I29" i="65"/>
  <c r="J29" i="65"/>
  <c r="K29" i="65"/>
  <c r="L29" i="65"/>
  <c r="M29" i="65"/>
  <c r="I30" i="65"/>
  <c r="J30" i="65"/>
  <c r="K30" i="65"/>
  <c r="L30" i="65"/>
  <c r="M30" i="65"/>
  <c r="I31" i="65"/>
  <c r="J31" i="65"/>
  <c r="K31" i="65"/>
  <c r="L31" i="65"/>
  <c r="M31" i="65"/>
  <c r="M3" i="65"/>
  <c r="K3" i="65"/>
  <c r="J3" i="65"/>
  <c r="I3" i="65"/>
  <c r="A48" i="7" l="1"/>
  <c r="O8" i="62"/>
  <c r="O8" i="64"/>
  <c r="D2" i="6"/>
  <c r="A8" i="62"/>
  <c r="A8" i="64"/>
  <c r="B2" i="6"/>
  <c r="A43" i="9"/>
  <c r="A43" i="15"/>
  <c r="H35" i="15" s="1"/>
  <c r="A44" i="13"/>
  <c r="A42" i="13"/>
  <c r="A44" i="12"/>
  <c r="A43" i="12"/>
  <c r="A41" i="12"/>
  <c r="A42" i="8"/>
  <c r="H42" i="64"/>
  <c r="H41" i="64"/>
  <c r="E17" i="62" s="1"/>
  <c r="H40" i="64"/>
  <c r="H39" i="64"/>
  <c r="E16" i="62" s="1"/>
  <c r="H38" i="64"/>
  <c r="H15" i="62" s="1"/>
  <c r="H37" i="64"/>
  <c r="E15" i="62" s="1"/>
  <c r="E42" i="64"/>
  <c r="E41" i="64"/>
  <c r="E40" i="64"/>
  <c r="E39" i="64"/>
  <c r="E38" i="64"/>
  <c r="E36" i="64"/>
  <c r="H14" i="62" s="1"/>
  <c r="E35" i="64"/>
  <c r="E14" i="62" s="1"/>
  <c r="E8" i="58"/>
  <c r="I8" i="58"/>
  <c r="K8" i="58"/>
  <c r="E8" i="57"/>
  <c r="K8" i="57"/>
  <c r="I8" i="57"/>
  <c r="I8" i="56"/>
  <c r="K8" i="56"/>
  <c r="E8" i="56"/>
  <c r="E8" i="54"/>
  <c r="I8" i="54"/>
  <c r="K8" i="54"/>
  <c r="E8" i="55"/>
  <c r="I8" i="55"/>
  <c r="K8" i="55"/>
  <c r="K8" i="51"/>
  <c r="I8" i="51"/>
  <c r="E8" i="51"/>
  <c r="K8" i="50"/>
  <c r="I8" i="50"/>
  <c r="E8" i="50"/>
  <c r="K8" i="49"/>
  <c r="I8" i="49"/>
  <c r="E8" i="49"/>
  <c r="H22" i="62" l="1"/>
  <c r="E28" i="62" s="1"/>
  <c r="H17" i="62"/>
  <c r="H23" i="62" s="1"/>
  <c r="H16" i="62"/>
  <c r="E23" i="62" s="1"/>
  <c r="E22" i="62"/>
  <c r="E29" i="62" s="1"/>
  <c r="E8" i="48"/>
  <c r="E8" i="21"/>
  <c r="K8" i="48"/>
  <c r="K8" i="21"/>
  <c r="A48" i="57"/>
  <c r="A48" i="56"/>
  <c r="A48" i="54"/>
  <c r="A48" i="55"/>
  <c r="A48" i="51"/>
  <c r="A47" i="57"/>
  <c r="A47" i="56"/>
  <c r="A47" i="54"/>
  <c r="A47" i="55"/>
  <c r="A47" i="51"/>
  <c r="A47" i="50"/>
  <c r="A43" i="7"/>
  <c r="H29" i="62" l="1"/>
  <c r="H28" i="62"/>
  <c r="H32" i="57"/>
  <c r="H21" i="57"/>
  <c r="E38" i="57"/>
  <c r="E30" i="57"/>
  <c r="H25" i="57"/>
  <c r="H17" i="57"/>
  <c r="H25" i="56"/>
  <c r="H32" i="56"/>
  <c r="H21" i="56"/>
  <c r="E38" i="56"/>
  <c r="E30" i="56"/>
  <c r="H17" i="56"/>
  <c r="H21" i="54"/>
  <c r="H25" i="54"/>
  <c r="H32" i="54"/>
  <c r="H17" i="54"/>
  <c r="E30" i="54"/>
  <c r="E38" i="54"/>
  <c r="H17" i="55"/>
  <c r="E30" i="55"/>
  <c r="H21" i="55"/>
  <c r="E38" i="55"/>
  <c r="H25" i="55"/>
  <c r="H32" i="55"/>
  <c r="E38" i="51"/>
  <c r="H32" i="51"/>
  <c r="E30" i="51"/>
  <c r="H25" i="51"/>
  <c r="H21" i="51"/>
  <c r="H17" i="51"/>
  <c r="H32" i="50"/>
  <c r="H21" i="50"/>
  <c r="H17" i="50"/>
  <c r="E38" i="50"/>
  <c r="H25" i="50"/>
  <c r="E30" i="50"/>
  <c r="A46" i="57"/>
  <c r="A45" i="57"/>
  <c r="A44" i="57"/>
  <c r="A43" i="57"/>
  <c r="A42" i="57"/>
  <c r="A41" i="57"/>
  <c r="A46" i="56"/>
  <c r="A45" i="56"/>
  <c r="A44" i="56"/>
  <c r="A43" i="56"/>
  <c r="A42" i="56"/>
  <c r="A41" i="56"/>
  <c r="A46" i="54"/>
  <c r="A45" i="54"/>
  <c r="A44" i="54"/>
  <c r="A43" i="54"/>
  <c r="A42" i="54"/>
  <c r="A41" i="54"/>
  <c r="A46" i="55"/>
  <c r="A45" i="55"/>
  <c r="A44" i="55"/>
  <c r="A43" i="55"/>
  <c r="A42" i="55"/>
  <c r="A41" i="55"/>
  <c r="A46" i="51"/>
  <c r="A45" i="51"/>
  <c r="A44" i="51"/>
  <c r="A43" i="51"/>
  <c r="A42" i="51"/>
  <c r="A41" i="51"/>
  <c r="M38" i="58"/>
  <c r="M37" i="58"/>
  <c r="M34" i="58"/>
  <c r="M33" i="58"/>
  <c r="M32" i="58"/>
  <c r="M16" i="58"/>
  <c r="M15" i="58"/>
  <c r="M36" i="58"/>
  <c r="M30" i="58"/>
  <c r="M29" i="58"/>
  <c r="M19" i="58"/>
  <c r="M13" i="58"/>
  <c r="M12" i="58"/>
  <c r="M11" i="58"/>
  <c r="M38" i="57"/>
  <c r="M37" i="57"/>
  <c r="M34" i="57"/>
  <c r="M33" i="57"/>
  <c r="M32" i="57"/>
  <c r="M16" i="57"/>
  <c r="M15" i="57"/>
  <c r="M36" i="57"/>
  <c r="M30" i="57"/>
  <c r="M29" i="57"/>
  <c r="M19" i="57"/>
  <c r="M13" i="57"/>
  <c r="M12" i="57"/>
  <c r="M11" i="57"/>
  <c r="M37" i="56"/>
  <c r="M38" i="56"/>
  <c r="M34" i="56"/>
  <c r="M33" i="56"/>
  <c r="M32" i="56"/>
  <c r="M16" i="56"/>
  <c r="M15" i="56"/>
  <c r="M36" i="56"/>
  <c r="M30" i="56"/>
  <c r="M29" i="56"/>
  <c r="M19" i="56"/>
  <c r="M13" i="56"/>
  <c r="M12" i="56"/>
  <c r="M11" i="56"/>
  <c r="M37" i="54"/>
  <c r="M38" i="54"/>
  <c r="M34" i="54"/>
  <c r="M33" i="54"/>
  <c r="M32" i="54"/>
  <c r="M16" i="54"/>
  <c r="M15" i="54"/>
  <c r="M36" i="54"/>
  <c r="M30" i="54"/>
  <c r="M29" i="54"/>
  <c r="M19" i="54"/>
  <c r="M13" i="54"/>
  <c r="M12" i="54"/>
  <c r="M11" i="54"/>
  <c r="M38" i="55"/>
  <c r="M37" i="55"/>
  <c r="M34" i="55"/>
  <c r="M33" i="55"/>
  <c r="M32" i="55"/>
  <c r="M16" i="55"/>
  <c r="M15" i="55"/>
  <c r="M36" i="55"/>
  <c r="M30" i="55"/>
  <c r="M29" i="55"/>
  <c r="M19" i="55"/>
  <c r="M13" i="55"/>
  <c r="M12" i="55"/>
  <c r="M11" i="55"/>
  <c r="M38" i="51"/>
  <c r="M37" i="51"/>
  <c r="M34" i="51"/>
  <c r="M33" i="51"/>
  <c r="M32" i="51"/>
  <c r="M16" i="51"/>
  <c r="M15" i="51"/>
  <c r="M36" i="51"/>
  <c r="M30" i="51"/>
  <c r="M29" i="51"/>
  <c r="M19" i="51"/>
  <c r="M13" i="51"/>
  <c r="M12" i="51"/>
  <c r="M11" i="51"/>
  <c r="M38" i="5" l="1"/>
  <c r="M37" i="5"/>
  <c r="M34" i="5"/>
  <c r="M33" i="5"/>
  <c r="M32" i="5"/>
  <c r="M16" i="5"/>
  <c r="M15" i="5"/>
  <c r="N8" i="49"/>
  <c r="N8" i="50"/>
  <c r="N8" i="48"/>
  <c r="A8" i="49"/>
  <c r="A8" i="50"/>
  <c r="A8" i="48"/>
  <c r="W48" i="58"/>
  <c r="V48" i="58"/>
  <c r="U48" i="58"/>
  <c r="N48" i="58"/>
  <c r="M48" i="58"/>
  <c r="K48" i="58"/>
  <c r="I48" i="58"/>
  <c r="H48" i="58"/>
  <c r="F48" i="58"/>
  <c r="E48" i="58"/>
  <c r="W47" i="58"/>
  <c r="V47" i="58"/>
  <c r="U47" i="58"/>
  <c r="N47" i="58"/>
  <c r="M47" i="58"/>
  <c r="K47" i="58"/>
  <c r="I47" i="58"/>
  <c r="H47" i="58"/>
  <c r="F47" i="58"/>
  <c r="E47" i="58"/>
  <c r="W46" i="58"/>
  <c r="V46" i="58"/>
  <c r="U46" i="58"/>
  <c r="N46" i="58"/>
  <c r="M46" i="58"/>
  <c r="K46" i="58"/>
  <c r="I46" i="58"/>
  <c r="H46" i="58"/>
  <c r="F46" i="58"/>
  <c r="E46" i="58"/>
  <c r="E24" i="58"/>
  <c r="W45" i="58"/>
  <c r="V45" i="58"/>
  <c r="U45" i="58"/>
  <c r="N45" i="58"/>
  <c r="M45" i="58"/>
  <c r="K45" i="58"/>
  <c r="I45" i="58"/>
  <c r="H45" i="58"/>
  <c r="F45" i="58"/>
  <c r="E45" i="58"/>
  <c r="E37" i="58"/>
  <c r="W44" i="58"/>
  <c r="V44" i="58"/>
  <c r="U44" i="58"/>
  <c r="M44" i="58"/>
  <c r="K44" i="58"/>
  <c r="I44" i="58"/>
  <c r="H44" i="58"/>
  <c r="F44" i="58"/>
  <c r="E44" i="58"/>
  <c r="H24" i="58"/>
  <c r="W43" i="58"/>
  <c r="V43" i="58"/>
  <c r="U43" i="58"/>
  <c r="N43" i="58"/>
  <c r="M43" i="58"/>
  <c r="K43" i="58"/>
  <c r="I43" i="58"/>
  <c r="H43" i="58"/>
  <c r="F43" i="58"/>
  <c r="E43" i="58"/>
  <c r="H15" i="58"/>
  <c r="W42" i="58"/>
  <c r="V42" i="58"/>
  <c r="U42" i="58"/>
  <c r="N42" i="58"/>
  <c r="M42" i="58"/>
  <c r="K42" i="58"/>
  <c r="I42" i="58"/>
  <c r="H42" i="58"/>
  <c r="F42" i="58"/>
  <c r="E42" i="58"/>
  <c r="E33" i="58"/>
  <c r="W41" i="58"/>
  <c r="V41" i="58"/>
  <c r="U41" i="58"/>
  <c r="N41" i="58"/>
  <c r="M41" i="58"/>
  <c r="K41" i="58"/>
  <c r="I41" i="58"/>
  <c r="H41" i="58"/>
  <c r="F41" i="58"/>
  <c r="E41" i="58"/>
  <c r="H36" i="58"/>
  <c r="E32" i="58"/>
  <c r="H23" i="58"/>
  <c r="N8" i="58"/>
  <c r="A8" i="58"/>
  <c r="W48" i="57"/>
  <c r="V48" i="57"/>
  <c r="U48" i="57"/>
  <c r="N48" i="57"/>
  <c r="M48" i="57"/>
  <c r="K48" i="57"/>
  <c r="I48" i="57"/>
  <c r="H48" i="57"/>
  <c r="F48" i="57"/>
  <c r="E48" i="57"/>
  <c r="W47" i="57"/>
  <c r="V47" i="57"/>
  <c r="U47" i="57"/>
  <c r="N47" i="57"/>
  <c r="M47" i="57"/>
  <c r="K47" i="57"/>
  <c r="I47" i="57"/>
  <c r="H47" i="57"/>
  <c r="F47" i="57"/>
  <c r="E47" i="57"/>
  <c r="W46" i="57"/>
  <c r="V46" i="57"/>
  <c r="U46" i="57"/>
  <c r="N46" i="57"/>
  <c r="M46" i="57"/>
  <c r="K46" i="57"/>
  <c r="I46" i="57"/>
  <c r="H46" i="57"/>
  <c r="F46" i="57"/>
  <c r="E46" i="57"/>
  <c r="E24" i="57"/>
  <c r="W45" i="57"/>
  <c r="V45" i="57"/>
  <c r="U45" i="57"/>
  <c r="N45" i="57"/>
  <c r="M45" i="57"/>
  <c r="K45" i="57"/>
  <c r="I45" i="57"/>
  <c r="H45" i="57"/>
  <c r="F45" i="57"/>
  <c r="E45" i="57"/>
  <c r="H34" i="57"/>
  <c r="W44" i="57"/>
  <c r="V44" i="57"/>
  <c r="U44" i="57"/>
  <c r="M44" i="57"/>
  <c r="K44" i="57"/>
  <c r="I44" i="57"/>
  <c r="H44" i="57"/>
  <c r="F44" i="57"/>
  <c r="E44" i="57"/>
  <c r="W43" i="57"/>
  <c r="V43" i="57"/>
  <c r="U43" i="57"/>
  <c r="N43" i="57"/>
  <c r="M43" i="57"/>
  <c r="K43" i="57"/>
  <c r="I43" i="57"/>
  <c r="H43" i="57"/>
  <c r="F43" i="57"/>
  <c r="E43" i="57"/>
  <c r="W42" i="57"/>
  <c r="V42" i="57"/>
  <c r="U42" i="57"/>
  <c r="N42" i="57"/>
  <c r="M42" i="57"/>
  <c r="K42" i="57"/>
  <c r="I42" i="57"/>
  <c r="H42" i="57"/>
  <c r="F42" i="57"/>
  <c r="E42" i="57"/>
  <c r="H37" i="57"/>
  <c r="W41" i="57"/>
  <c r="V41" i="57"/>
  <c r="U41" i="57"/>
  <c r="N41" i="57"/>
  <c r="M41" i="57"/>
  <c r="K41" i="57"/>
  <c r="I41" i="57"/>
  <c r="H41" i="57"/>
  <c r="F41" i="57"/>
  <c r="E41" i="57"/>
  <c r="E11" i="57"/>
  <c r="H33" i="57"/>
  <c r="N8" i="57"/>
  <c r="A8" i="57"/>
  <c r="W48" i="56"/>
  <c r="V48" i="56"/>
  <c r="U48" i="56"/>
  <c r="N48" i="56"/>
  <c r="M48" i="56"/>
  <c r="K48" i="56"/>
  <c r="I48" i="56"/>
  <c r="H48" i="56"/>
  <c r="F48" i="56"/>
  <c r="E48" i="56"/>
  <c r="W47" i="56"/>
  <c r="V47" i="56"/>
  <c r="U47" i="56"/>
  <c r="N47" i="56"/>
  <c r="M47" i="56"/>
  <c r="K47" i="56"/>
  <c r="I47" i="56"/>
  <c r="H47" i="56"/>
  <c r="F47" i="56"/>
  <c r="E47" i="56"/>
  <c r="W46" i="56"/>
  <c r="V46" i="56"/>
  <c r="U46" i="56"/>
  <c r="N46" i="56"/>
  <c r="M46" i="56"/>
  <c r="K46" i="56"/>
  <c r="I46" i="56"/>
  <c r="H46" i="56"/>
  <c r="F46" i="56"/>
  <c r="E46" i="56"/>
  <c r="E36" i="56"/>
  <c r="W45" i="56"/>
  <c r="V45" i="56"/>
  <c r="U45" i="56"/>
  <c r="N45" i="56"/>
  <c r="M45" i="56"/>
  <c r="K45" i="56"/>
  <c r="I45" i="56"/>
  <c r="H45" i="56"/>
  <c r="F45" i="56"/>
  <c r="E45" i="56"/>
  <c r="W44" i="56"/>
  <c r="V44" i="56"/>
  <c r="U44" i="56"/>
  <c r="M44" i="56"/>
  <c r="K44" i="56"/>
  <c r="I44" i="56"/>
  <c r="H44" i="56"/>
  <c r="F44" i="56"/>
  <c r="E44" i="56"/>
  <c r="E19" i="56"/>
  <c r="W43" i="56"/>
  <c r="V43" i="56"/>
  <c r="U43" i="56"/>
  <c r="N43" i="56"/>
  <c r="M43" i="56"/>
  <c r="K43" i="56"/>
  <c r="I43" i="56"/>
  <c r="H43" i="56"/>
  <c r="F43" i="56"/>
  <c r="E43" i="56"/>
  <c r="H23" i="56"/>
  <c r="W42" i="56"/>
  <c r="V42" i="56"/>
  <c r="U42" i="56"/>
  <c r="N42" i="56"/>
  <c r="M42" i="56"/>
  <c r="K42" i="56"/>
  <c r="I42" i="56"/>
  <c r="H42" i="56"/>
  <c r="F42" i="56"/>
  <c r="E42" i="56"/>
  <c r="E25" i="56"/>
  <c r="W41" i="56"/>
  <c r="V41" i="56"/>
  <c r="U41" i="56"/>
  <c r="N41" i="56"/>
  <c r="M41" i="56"/>
  <c r="K41" i="56"/>
  <c r="I41" i="56"/>
  <c r="H41" i="56"/>
  <c r="F41" i="56"/>
  <c r="E41" i="56"/>
  <c r="H36" i="56"/>
  <c r="H27" i="56"/>
  <c r="N8" i="56"/>
  <c r="A8" i="56"/>
  <c r="W48" i="55"/>
  <c r="V48" i="55"/>
  <c r="U48" i="55"/>
  <c r="N48" i="55"/>
  <c r="M48" i="55"/>
  <c r="K48" i="55"/>
  <c r="I48" i="55"/>
  <c r="H48" i="55"/>
  <c r="F48" i="55"/>
  <c r="E48" i="55"/>
  <c r="W47" i="55"/>
  <c r="V47" i="55"/>
  <c r="U47" i="55"/>
  <c r="N47" i="55"/>
  <c r="M47" i="55"/>
  <c r="K47" i="55"/>
  <c r="I47" i="55"/>
  <c r="H47" i="55"/>
  <c r="F47" i="55"/>
  <c r="E47" i="55"/>
  <c r="W46" i="55"/>
  <c r="V46" i="55"/>
  <c r="U46" i="55"/>
  <c r="N46" i="55"/>
  <c r="M46" i="55"/>
  <c r="K46" i="55"/>
  <c r="I46" i="55"/>
  <c r="H46" i="55"/>
  <c r="F46" i="55"/>
  <c r="E46" i="55"/>
  <c r="E36" i="55"/>
  <c r="W45" i="55"/>
  <c r="V45" i="55"/>
  <c r="U45" i="55"/>
  <c r="N45" i="55"/>
  <c r="M45" i="55"/>
  <c r="K45" i="55"/>
  <c r="I45" i="55"/>
  <c r="H45" i="55"/>
  <c r="F45" i="55"/>
  <c r="E45" i="55"/>
  <c r="H16" i="55"/>
  <c r="W44" i="55"/>
  <c r="V44" i="55"/>
  <c r="U44" i="55"/>
  <c r="M44" i="55"/>
  <c r="K44" i="55"/>
  <c r="I44" i="55"/>
  <c r="H44" i="55"/>
  <c r="F44" i="55"/>
  <c r="E44" i="55"/>
  <c r="H38" i="55"/>
  <c r="W43" i="55"/>
  <c r="V43" i="55"/>
  <c r="U43" i="55"/>
  <c r="N43" i="55"/>
  <c r="M43" i="55"/>
  <c r="K43" i="55"/>
  <c r="I43" i="55"/>
  <c r="H43" i="55"/>
  <c r="F43" i="55"/>
  <c r="E43" i="55"/>
  <c r="H15" i="55"/>
  <c r="W42" i="55"/>
  <c r="V42" i="55"/>
  <c r="U42" i="55"/>
  <c r="N42" i="55"/>
  <c r="M42" i="55"/>
  <c r="K42" i="55"/>
  <c r="I42" i="55"/>
  <c r="H42" i="55"/>
  <c r="F42" i="55"/>
  <c r="E42" i="55"/>
  <c r="W41" i="55"/>
  <c r="V41" i="55"/>
  <c r="U41" i="55"/>
  <c r="N41" i="55"/>
  <c r="M41" i="55"/>
  <c r="K41" i="55"/>
  <c r="I41" i="55"/>
  <c r="H41" i="55"/>
  <c r="F41" i="55"/>
  <c r="E41" i="55"/>
  <c r="H36" i="55"/>
  <c r="H27" i="55"/>
  <c r="H24" i="55"/>
  <c r="E16" i="55"/>
  <c r="H12" i="55"/>
  <c r="N8" i="55"/>
  <c r="A8" i="55"/>
  <c r="W48" i="54"/>
  <c r="V48" i="54"/>
  <c r="U48" i="54"/>
  <c r="N48" i="54"/>
  <c r="M48" i="54"/>
  <c r="K48" i="54"/>
  <c r="I48" i="54"/>
  <c r="H48" i="54"/>
  <c r="F48" i="54"/>
  <c r="E48" i="54"/>
  <c r="W47" i="54"/>
  <c r="V47" i="54"/>
  <c r="U47" i="54"/>
  <c r="N47" i="54"/>
  <c r="M47" i="54"/>
  <c r="K47" i="54"/>
  <c r="I47" i="54"/>
  <c r="H47" i="54"/>
  <c r="F47" i="54"/>
  <c r="E47" i="54"/>
  <c r="W46" i="54"/>
  <c r="V46" i="54"/>
  <c r="U46" i="54"/>
  <c r="N46" i="54"/>
  <c r="M46" i="54"/>
  <c r="K46" i="54"/>
  <c r="I46" i="54"/>
  <c r="H46" i="54"/>
  <c r="F46" i="54"/>
  <c r="E46" i="54"/>
  <c r="E36" i="54"/>
  <c r="W45" i="54"/>
  <c r="V45" i="54"/>
  <c r="U45" i="54"/>
  <c r="N45" i="54"/>
  <c r="M45" i="54"/>
  <c r="K45" i="54"/>
  <c r="I45" i="54"/>
  <c r="H45" i="54"/>
  <c r="F45" i="54"/>
  <c r="E45" i="54"/>
  <c r="W44" i="54"/>
  <c r="V44" i="54"/>
  <c r="U44" i="54"/>
  <c r="M44" i="54"/>
  <c r="K44" i="54"/>
  <c r="I44" i="54"/>
  <c r="H44" i="54"/>
  <c r="F44" i="54"/>
  <c r="E44" i="54"/>
  <c r="E29" i="54"/>
  <c r="W43" i="54"/>
  <c r="V43" i="54"/>
  <c r="U43" i="54"/>
  <c r="N43" i="54"/>
  <c r="M43" i="54"/>
  <c r="K43" i="54"/>
  <c r="I43" i="54"/>
  <c r="H43" i="54"/>
  <c r="F43" i="54"/>
  <c r="E43" i="54"/>
  <c r="E32" i="54"/>
  <c r="W42" i="54"/>
  <c r="V42" i="54"/>
  <c r="U42" i="54"/>
  <c r="N42" i="54"/>
  <c r="M42" i="54"/>
  <c r="K42" i="54"/>
  <c r="I42" i="54"/>
  <c r="H42" i="54"/>
  <c r="F42" i="54"/>
  <c r="E42" i="54"/>
  <c r="H37" i="54"/>
  <c r="W41" i="54"/>
  <c r="V41" i="54"/>
  <c r="U41" i="54"/>
  <c r="N41" i="54"/>
  <c r="M41" i="54"/>
  <c r="K41" i="54"/>
  <c r="I41" i="54"/>
  <c r="H41" i="54"/>
  <c r="F41" i="54"/>
  <c r="E41" i="54"/>
  <c r="H36" i="54"/>
  <c r="N8" i="54"/>
  <c r="A8" i="54"/>
  <c r="M45" i="51"/>
  <c r="M45" i="50"/>
  <c r="M45" i="49"/>
  <c r="M45" i="48"/>
  <c r="M45" i="21"/>
  <c r="M45" i="20"/>
  <c r="M45" i="19"/>
  <c r="M45" i="18"/>
  <c r="M45" i="17"/>
  <c r="M45" i="16"/>
  <c r="M45" i="15"/>
  <c r="M45" i="14"/>
  <c r="M45" i="13"/>
  <c r="M45" i="12"/>
  <c r="M45" i="11"/>
  <c r="M45" i="10"/>
  <c r="M45" i="9"/>
  <c r="M45" i="8"/>
  <c r="M45" i="7"/>
  <c r="M45" i="5"/>
  <c r="M45" i="1"/>
  <c r="M38" i="50"/>
  <c r="M37" i="50"/>
  <c r="M34" i="50"/>
  <c r="M33" i="50"/>
  <c r="M32" i="50"/>
  <c r="M16" i="50"/>
  <c r="M15" i="50"/>
  <c r="M36" i="50"/>
  <c r="M30" i="50"/>
  <c r="M29" i="50"/>
  <c r="M19" i="50"/>
  <c r="M13" i="50"/>
  <c r="M12" i="50"/>
  <c r="M11" i="50"/>
  <c r="M38" i="49"/>
  <c r="M37" i="49"/>
  <c r="M34" i="49"/>
  <c r="M33" i="49"/>
  <c r="M32" i="49"/>
  <c r="M16" i="49"/>
  <c r="M15" i="49"/>
  <c r="M36" i="49"/>
  <c r="M30" i="49"/>
  <c r="M29" i="49"/>
  <c r="M19" i="49"/>
  <c r="M13" i="49"/>
  <c r="M12" i="49"/>
  <c r="M11" i="49"/>
  <c r="M38" i="48"/>
  <c r="M37" i="48"/>
  <c r="M34" i="48"/>
  <c r="M33" i="48"/>
  <c r="M32" i="48"/>
  <c r="M16" i="48"/>
  <c r="M15" i="48"/>
  <c r="M36" i="48"/>
  <c r="M30" i="48"/>
  <c r="M29" i="48"/>
  <c r="M19" i="48"/>
  <c r="M13" i="48"/>
  <c r="M12" i="48"/>
  <c r="M11" i="48"/>
  <c r="A46" i="21"/>
  <c r="A42" i="18"/>
  <c r="A44" i="17"/>
  <c r="H31" i="17" s="1"/>
  <c r="A47" i="16"/>
  <c r="E14" i="16" s="1"/>
  <c r="E24" i="51"/>
  <c r="H20" i="51"/>
  <c r="H38" i="51"/>
  <c r="E27" i="51"/>
  <c r="H29" i="51"/>
  <c r="A46" i="50"/>
  <c r="A45" i="50"/>
  <c r="A44" i="50"/>
  <c r="A43" i="50"/>
  <c r="A42" i="50"/>
  <c r="A48" i="50"/>
  <c r="A41" i="50"/>
  <c r="A48" i="49"/>
  <c r="A47" i="49"/>
  <c r="A46" i="49"/>
  <c r="A45" i="49"/>
  <c r="A44" i="49"/>
  <c r="A43" i="49"/>
  <c r="A42" i="49"/>
  <c r="A41" i="49"/>
  <c r="A48" i="48"/>
  <c r="A47" i="48"/>
  <c r="A46" i="48"/>
  <c r="A44" i="48"/>
  <c r="A45" i="48"/>
  <c r="A43" i="48"/>
  <c r="A42" i="48"/>
  <c r="A41" i="48"/>
  <c r="A44" i="20"/>
  <c r="A47" i="15"/>
  <c r="E14" i="15" s="1"/>
  <c r="A43" i="13"/>
  <c r="A41" i="13"/>
  <c r="A43" i="5"/>
  <c r="A42" i="5"/>
  <c r="W48" i="51"/>
  <c r="V48" i="51"/>
  <c r="U48" i="51"/>
  <c r="N48" i="51"/>
  <c r="M48" i="51"/>
  <c r="K48" i="51"/>
  <c r="I48" i="51"/>
  <c r="H48" i="51"/>
  <c r="F48" i="51"/>
  <c r="E48" i="51"/>
  <c r="W47" i="51"/>
  <c r="V47" i="51"/>
  <c r="U47" i="51"/>
  <c r="N47" i="51"/>
  <c r="M47" i="51"/>
  <c r="K47" i="51"/>
  <c r="I47" i="51"/>
  <c r="H47" i="51"/>
  <c r="F47" i="51"/>
  <c r="E47" i="51"/>
  <c r="W46" i="51"/>
  <c r="V46" i="51"/>
  <c r="U46" i="51"/>
  <c r="N46" i="51"/>
  <c r="M46" i="51"/>
  <c r="K46" i="51"/>
  <c r="I46" i="51"/>
  <c r="H46" i="51"/>
  <c r="F46" i="51"/>
  <c r="E46" i="51"/>
  <c r="W45" i="51"/>
  <c r="V45" i="51"/>
  <c r="U45" i="51"/>
  <c r="N45" i="51"/>
  <c r="K45" i="51"/>
  <c r="I45" i="51"/>
  <c r="H45" i="51"/>
  <c r="F45" i="51"/>
  <c r="E45" i="51"/>
  <c r="W44" i="51"/>
  <c r="V44" i="51"/>
  <c r="U44" i="51"/>
  <c r="M44" i="51"/>
  <c r="K44" i="51"/>
  <c r="I44" i="51"/>
  <c r="H44" i="51"/>
  <c r="F44" i="51"/>
  <c r="E44" i="51"/>
  <c r="W43" i="51"/>
  <c r="V43" i="51"/>
  <c r="U43" i="51"/>
  <c r="N43" i="51"/>
  <c r="M43" i="51"/>
  <c r="K43" i="51"/>
  <c r="I43" i="51"/>
  <c r="H43" i="51"/>
  <c r="F43" i="51"/>
  <c r="E43" i="51"/>
  <c r="W42" i="51"/>
  <c r="V42" i="51"/>
  <c r="U42" i="51"/>
  <c r="N42" i="51"/>
  <c r="M42" i="51"/>
  <c r="K42" i="51"/>
  <c r="I42" i="51"/>
  <c r="H42" i="51"/>
  <c r="F42" i="51"/>
  <c r="E42" i="51"/>
  <c r="W41" i="51"/>
  <c r="V41" i="51"/>
  <c r="U41" i="51"/>
  <c r="N41" i="51"/>
  <c r="M41" i="51"/>
  <c r="K41" i="51"/>
  <c r="I41" i="51"/>
  <c r="H41" i="51"/>
  <c r="F41" i="51"/>
  <c r="E41" i="51"/>
  <c r="H15" i="51"/>
  <c r="W48" i="50"/>
  <c r="V48" i="50"/>
  <c r="U48" i="50"/>
  <c r="N48" i="50"/>
  <c r="M48" i="50"/>
  <c r="K48" i="50"/>
  <c r="I48" i="50"/>
  <c r="H48" i="50"/>
  <c r="F48" i="50"/>
  <c r="E48" i="50"/>
  <c r="W47" i="50"/>
  <c r="V47" i="50"/>
  <c r="U47" i="50"/>
  <c r="N47" i="50"/>
  <c r="M47" i="50"/>
  <c r="K47" i="50"/>
  <c r="I47" i="50"/>
  <c r="H47" i="50"/>
  <c r="F47" i="50"/>
  <c r="E47" i="50"/>
  <c r="W46" i="50"/>
  <c r="V46" i="50"/>
  <c r="U46" i="50"/>
  <c r="N46" i="50"/>
  <c r="M46" i="50"/>
  <c r="K46" i="50"/>
  <c r="I46" i="50"/>
  <c r="H46" i="50"/>
  <c r="F46" i="50"/>
  <c r="E46" i="50"/>
  <c r="W45" i="50"/>
  <c r="V45" i="50"/>
  <c r="U45" i="50"/>
  <c r="N45" i="50"/>
  <c r="K45" i="50"/>
  <c r="I45" i="50"/>
  <c r="H45" i="50"/>
  <c r="F45" i="50"/>
  <c r="E45" i="50"/>
  <c r="W44" i="50"/>
  <c r="V44" i="50"/>
  <c r="U44" i="50"/>
  <c r="M44" i="50"/>
  <c r="K44" i="50"/>
  <c r="I44" i="50"/>
  <c r="H44" i="50"/>
  <c r="F44" i="50"/>
  <c r="E44" i="50"/>
  <c r="W43" i="50"/>
  <c r="V43" i="50"/>
  <c r="U43" i="50"/>
  <c r="N43" i="50"/>
  <c r="M43" i="50"/>
  <c r="K43" i="50"/>
  <c r="I43" i="50"/>
  <c r="H43" i="50"/>
  <c r="F43" i="50"/>
  <c r="E43" i="50"/>
  <c r="W42" i="50"/>
  <c r="V42" i="50"/>
  <c r="U42" i="50"/>
  <c r="N42" i="50"/>
  <c r="M42" i="50"/>
  <c r="K42" i="50"/>
  <c r="I42" i="50"/>
  <c r="H42" i="50"/>
  <c r="F42" i="50"/>
  <c r="E42" i="50"/>
  <c r="W41" i="50"/>
  <c r="V41" i="50"/>
  <c r="U41" i="50"/>
  <c r="N41" i="50"/>
  <c r="M41" i="50"/>
  <c r="K41" i="50"/>
  <c r="I41" i="50"/>
  <c r="H41" i="50"/>
  <c r="F41" i="50"/>
  <c r="E41" i="50"/>
  <c r="W48" i="49"/>
  <c r="V48" i="49"/>
  <c r="U48" i="49"/>
  <c r="N48" i="49"/>
  <c r="M48" i="49"/>
  <c r="K48" i="49"/>
  <c r="I48" i="49"/>
  <c r="H48" i="49"/>
  <c r="F48" i="49"/>
  <c r="E48" i="49"/>
  <c r="W47" i="49"/>
  <c r="V47" i="49"/>
  <c r="U47" i="49"/>
  <c r="N47" i="49"/>
  <c r="M47" i="49"/>
  <c r="K47" i="49"/>
  <c r="I47" i="49"/>
  <c r="H47" i="49"/>
  <c r="F47" i="49"/>
  <c r="E47" i="49"/>
  <c r="W46" i="49"/>
  <c r="V46" i="49"/>
  <c r="U46" i="49"/>
  <c r="N46" i="49"/>
  <c r="M46" i="49"/>
  <c r="K46" i="49"/>
  <c r="I46" i="49"/>
  <c r="H46" i="49"/>
  <c r="F46" i="49"/>
  <c r="E46" i="49"/>
  <c r="W45" i="49"/>
  <c r="V45" i="49"/>
  <c r="U45" i="49"/>
  <c r="N45" i="49"/>
  <c r="K45" i="49"/>
  <c r="I45" i="49"/>
  <c r="H45" i="49"/>
  <c r="F45" i="49"/>
  <c r="E45" i="49"/>
  <c r="W44" i="49"/>
  <c r="V44" i="49"/>
  <c r="U44" i="49"/>
  <c r="M44" i="49"/>
  <c r="K44" i="49"/>
  <c r="I44" i="49"/>
  <c r="H44" i="49"/>
  <c r="F44" i="49"/>
  <c r="E44" i="49"/>
  <c r="W43" i="49"/>
  <c r="V43" i="49"/>
  <c r="U43" i="49"/>
  <c r="N43" i="49"/>
  <c r="M43" i="49"/>
  <c r="K43" i="49"/>
  <c r="I43" i="49"/>
  <c r="H43" i="49"/>
  <c r="F43" i="49"/>
  <c r="E43" i="49"/>
  <c r="W42" i="49"/>
  <c r="V42" i="49"/>
  <c r="U42" i="49"/>
  <c r="N42" i="49"/>
  <c r="M42" i="49"/>
  <c r="K42" i="49"/>
  <c r="I42" i="49"/>
  <c r="H42" i="49"/>
  <c r="F42" i="49"/>
  <c r="E42" i="49"/>
  <c r="W41" i="49"/>
  <c r="V41" i="49"/>
  <c r="U41" i="49"/>
  <c r="N41" i="49"/>
  <c r="M41" i="49"/>
  <c r="K41" i="49"/>
  <c r="I41" i="49"/>
  <c r="H41" i="49"/>
  <c r="F41" i="49"/>
  <c r="E41" i="49"/>
  <c r="W48" i="48"/>
  <c r="V48" i="48"/>
  <c r="U48" i="48"/>
  <c r="N48" i="48"/>
  <c r="M48" i="48"/>
  <c r="K48" i="48"/>
  <c r="I48" i="48"/>
  <c r="H48" i="48"/>
  <c r="F48" i="48"/>
  <c r="E48" i="48"/>
  <c r="W47" i="48"/>
  <c r="V47" i="48"/>
  <c r="U47" i="48"/>
  <c r="N47" i="48"/>
  <c r="M47" i="48"/>
  <c r="K47" i="48"/>
  <c r="I47" i="48"/>
  <c r="H47" i="48"/>
  <c r="F47" i="48"/>
  <c r="E47" i="48"/>
  <c r="W46" i="48"/>
  <c r="V46" i="48"/>
  <c r="U46" i="48"/>
  <c r="N46" i="48"/>
  <c r="M46" i="48"/>
  <c r="K46" i="48"/>
  <c r="I46" i="48"/>
  <c r="H46" i="48"/>
  <c r="F46" i="48"/>
  <c r="E46" i="48"/>
  <c r="W45" i="48"/>
  <c r="V45" i="48"/>
  <c r="U45" i="48"/>
  <c r="N45" i="48"/>
  <c r="K45" i="48"/>
  <c r="I45" i="48"/>
  <c r="H45" i="48"/>
  <c r="F45" i="48"/>
  <c r="E45" i="48"/>
  <c r="W44" i="48"/>
  <c r="V44" i="48"/>
  <c r="U44" i="48"/>
  <c r="M44" i="48"/>
  <c r="K44" i="48"/>
  <c r="I44" i="48"/>
  <c r="H44" i="48"/>
  <c r="F44" i="48"/>
  <c r="E44" i="48"/>
  <c r="W43" i="48"/>
  <c r="V43" i="48"/>
  <c r="U43" i="48"/>
  <c r="N43" i="48"/>
  <c r="M43" i="48"/>
  <c r="K43" i="48"/>
  <c r="I43" i="48"/>
  <c r="H43" i="48"/>
  <c r="F43" i="48"/>
  <c r="E43" i="48"/>
  <c r="W42" i="48"/>
  <c r="V42" i="48"/>
  <c r="U42" i="48"/>
  <c r="N42" i="48"/>
  <c r="M42" i="48"/>
  <c r="K42" i="48"/>
  <c r="I42" i="48"/>
  <c r="H42" i="48"/>
  <c r="F42" i="48"/>
  <c r="E42" i="48"/>
  <c r="W41" i="48"/>
  <c r="V41" i="48"/>
  <c r="U41" i="48"/>
  <c r="N41" i="48"/>
  <c r="M41" i="48"/>
  <c r="K41" i="48"/>
  <c r="I41" i="48"/>
  <c r="H41" i="48"/>
  <c r="F41" i="48"/>
  <c r="E41" i="48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N8" i="1"/>
  <c r="N8" i="21"/>
  <c r="N8" i="20"/>
  <c r="N8" i="19"/>
  <c r="N8" i="18"/>
  <c r="N8" i="17"/>
  <c r="N8" i="16"/>
  <c r="N8" i="15"/>
  <c r="N8" i="14"/>
  <c r="N8" i="13"/>
  <c r="N8" i="12"/>
  <c r="N8" i="11"/>
  <c r="N8" i="10"/>
  <c r="N8" i="9"/>
  <c r="N8" i="8"/>
  <c r="N8" i="7"/>
  <c r="N8" i="5"/>
  <c r="A48" i="21"/>
  <c r="A47" i="21"/>
  <c r="A48" i="20"/>
  <c r="A47" i="20"/>
  <c r="A48" i="19"/>
  <c r="A47" i="19"/>
  <c r="A48" i="18"/>
  <c r="A47" i="18"/>
  <c r="A48" i="17"/>
  <c r="A47" i="17"/>
  <c r="E14" i="17" s="1"/>
  <c r="A48" i="16"/>
  <c r="A48" i="15"/>
  <c r="A48" i="14"/>
  <c r="A47" i="14"/>
  <c r="A48" i="13"/>
  <c r="H28" i="13" s="1"/>
  <c r="A47" i="13"/>
  <c r="A48" i="12"/>
  <c r="A47" i="12"/>
  <c r="A48" i="11"/>
  <c r="A47" i="11"/>
  <c r="A48" i="10"/>
  <c r="A47" i="10"/>
  <c r="A48" i="9"/>
  <c r="A47" i="9"/>
  <c r="A48" i="8"/>
  <c r="A47" i="8"/>
  <c r="W48" i="7"/>
  <c r="V48" i="7"/>
  <c r="U48" i="7"/>
  <c r="W47" i="7"/>
  <c r="V47" i="7"/>
  <c r="U47" i="7"/>
  <c r="W46" i="7"/>
  <c r="V46" i="7"/>
  <c r="U46" i="7"/>
  <c r="W45" i="7"/>
  <c r="V45" i="7"/>
  <c r="U45" i="7"/>
  <c r="W44" i="7"/>
  <c r="V44" i="7"/>
  <c r="U44" i="7"/>
  <c r="W43" i="7"/>
  <c r="V43" i="7"/>
  <c r="U43" i="7"/>
  <c r="W42" i="7"/>
  <c r="V42" i="7"/>
  <c r="U42" i="7"/>
  <c r="W41" i="7"/>
  <c r="V41" i="7"/>
  <c r="U41" i="7"/>
  <c r="W48" i="8"/>
  <c r="V48" i="8"/>
  <c r="U48" i="8"/>
  <c r="W47" i="8"/>
  <c r="V47" i="8"/>
  <c r="U47" i="8"/>
  <c r="W46" i="8"/>
  <c r="V46" i="8"/>
  <c r="U46" i="8"/>
  <c r="W45" i="8"/>
  <c r="V45" i="8"/>
  <c r="U45" i="8"/>
  <c r="W44" i="8"/>
  <c r="V44" i="8"/>
  <c r="U44" i="8"/>
  <c r="W43" i="8"/>
  <c r="V43" i="8"/>
  <c r="U43" i="8"/>
  <c r="W42" i="8"/>
  <c r="V42" i="8"/>
  <c r="U42" i="8"/>
  <c r="W41" i="8"/>
  <c r="V41" i="8"/>
  <c r="U41" i="8"/>
  <c r="W48" i="9"/>
  <c r="V48" i="9"/>
  <c r="U48" i="9"/>
  <c r="W47" i="9"/>
  <c r="V47" i="9"/>
  <c r="U47" i="9"/>
  <c r="W46" i="9"/>
  <c r="V46" i="9"/>
  <c r="U46" i="9"/>
  <c r="W45" i="9"/>
  <c r="V45" i="9"/>
  <c r="U45" i="9"/>
  <c r="W44" i="9"/>
  <c r="V44" i="9"/>
  <c r="U44" i="9"/>
  <c r="W43" i="9"/>
  <c r="V43" i="9"/>
  <c r="U43" i="9"/>
  <c r="W42" i="9"/>
  <c r="V42" i="9"/>
  <c r="U42" i="9"/>
  <c r="W41" i="9"/>
  <c r="V41" i="9"/>
  <c r="U41" i="9"/>
  <c r="W48" i="10"/>
  <c r="V48" i="10"/>
  <c r="U48" i="10"/>
  <c r="W47" i="10"/>
  <c r="V47" i="10"/>
  <c r="U47" i="10"/>
  <c r="W46" i="10"/>
  <c r="V46" i="10"/>
  <c r="U46" i="10"/>
  <c r="W45" i="10"/>
  <c r="V45" i="10"/>
  <c r="U45" i="10"/>
  <c r="W44" i="10"/>
  <c r="V44" i="10"/>
  <c r="U44" i="10"/>
  <c r="W43" i="10"/>
  <c r="V43" i="10"/>
  <c r="U43" i="10"/>
  <c r="W42" i="10"/>
  <c r="V42" i="10"/>
  <c r="U42" i="10"/>
  <c r="W41" i="10"/>
  <c r="V41" i="10"/>
  <c r="U41" i="10"/>
  <c r="W48" i="11"/>
  <c r="V48" i="11"/>
  <c r="U48" i="11"/>
  <c r="W47" i="11"/>
  <c r="V47" i="11"/>
  <c r="U47" i="11"/>
  <c r="W46" i="11"/>
  <c r="V46" i="11"/>
  <c r="U46" i="11"/>
  <c r="W45" i="11"/>
  <c r="V45" i="11"/>
  <c r="U45" i="11"/>
  <c r="W44" i="11"/>
  <c r="V44" i="11"/>
  <c r="U44" i="11"/>
  <c r="W43" i="11"/>
  <c r="V43" i="11"/>
  <c r="U43" i="11"/>
  <c r="W42" i="11"/>
  <c r="V42" i="11"/>
  <c r="U42" i="11"/>
  <c r="W41" i="11"/>
  <c r="V41" i="11"/>
  <c r="U41" i="11"/>
  <c r="W48" i="12"/>
  <c r="V48" i="12"/>
  <c r="U48" i="12"/>
  <c r="W47" i="12"/>
  <c r="V47" i="12"/>
  <c r="U47" i="12"/>
  <c r="W46" i="12"/>
  <c r="V46" i="12"/>
  <c r="U46" i="12"/>
  <c r="W45" i="12"/>
  <c r="V45" i="12"/>
  <c r="U45" i="12"/>
  <c r="W44" i="12"/>
  <c r="V44" i="12"/>
  <c r="U44" i="12"/>
  <c r="W43" i="12"/>
  <c r="V43" i="12"/>
  <c r="U43" i="12"/>
  <c r="W42" i="12"/>
  <c r="V42" i="12"/>
  <c r="U42" i="12"/>
  <c r="W41" i="12"/>
  <c r="V41" i="12"/>
  <c r="U41" i="12"/>
  <c r="W48" i="13"/>
  <c r="V48" i="13"/>
  <c r="U48" i="13"/>
  <c r="W47" i="13"/>
  <c r="V47" i="13"/>
  <c r="U47" i="13"/>
  <c r="W46" i="13"/>
  <c r="V46" i="13"/>
  <c r="U46" i="13"/>
  <c r="W45" i="13"/>
  <c r="V45" i="13"/>
  <c r="U45" i="13"/>
  <c r="W44" i="13"/>
  <c r="V44" i="13"/>
  <c r="U44" i="13"/>
  <c r="W43" i="13"/>
  <c r="V43" i="13"/>
  <c r="U43" i="13"/>
  <c r="W42" i="13"/>
  <c r="V42" i="13"/>
  <c r="U42" i="13"/>
  <c r="W41" i="13"/>
  <c r="V41" i="13"/>
  <c r="U41" i="13"/>
  <c r="W48" i="14"/>
  <c r="V48" i="14"/>
  <c r="U48" i="14"/>
  <c r="W47" i="14"/>
  <c r="V47" i="14"/>
  <c r="U47" i="14"/>
  <c r="W46" i="14"/>
  <c r="V46" i="14"/>
  <c r="U46" i="14"/>
  <c r="W45" i="14"/>
  <c r="V45" i="14"/>
  <c r="U45" i="14"/>
  <c r="W44" i="14"/>
  <c r="V44" i="14"/>
  <c r="U44" i="14"/>
  <c r="W43" i="14"/>
  <c r="V43" i="14"/>
  <c r="U43" i="14"/>
  <c r="W42" i="14"/>
  <c r="V42" i="14"/>
  <c r="U42" i="14"/>
  <c r="W41" i="14"/>
  <c r="V41" i="14"/>
  <c r="U41" i="14"/>
  <c r="W48" i="15"/>
  <c r="V48" i="15"/>
  <c r="U48" i="15"/>
  <c r="W47" i="15"/>
  <c r="V47" i="15"/>
  <c r="U47" i="15"/>
  <c r="W46" i="15"/>
  <c r="V46" i="15"/>
  <c r="U46" i="15"/>
  <c r="W45" i="15"/>
  <c r="V45" i="15"/>
  <c r="U45" i="15"/>
  <c r="W44" i="15"/>
  <c r="V44" i="15"/>
  <c r="U44" i="15"/>
  <c r="W43" i="15"/>
  <c r="V43" i="15"/>
  <c r="U43" i="15"/>
  <c r="W42" i="15"/>
  <c r="V42" i="15"/>
  <c r="U42" i="15"/>
  <c r="W41" i="15"/>
  <c r="V41" i="15"/>
  <c r="U41" i="15"/>
  <c r="W48" i="16"/>
  <c r="V48" i="16"/>
  <c r="U48" i="16"/>
  <c r="W47" i="16"/>
  <c r="V47" i="16"/>
  <c r="U47" i="16"/>
  <c r="W46" i="16"/>
  <c r="V46" i="16"/>
  <c r="U46" i="16"/>
  <c r="W45" i="16"/>
  <c r="V45" i="16"/>
  <c r="U45" i="16"/>
  <c r="W44" i="16"/>
  <c r="V44" i="16"/>
  <c r="U44" i="16"/>
  <c r="W43" i="16"/>
  <c r="V43" i="16"/>
  <c r="U43" i="16"/>
  <c r="W42" i="16"/>
  <c r="V42" i="16"/>
  <c r="U42" i="16"/>
  <c r="W41" i="16"/>
  <c r="V41" i="16"/>
  <c r="U41" i="16"/>
  <c r="W48" i="17"/>
  <c r="V48" i="17"/>
  <c r="U48" i="17"/>
  <c r="W47" i="17"/>
  <c r="V47" i="17"/>
  <c r="U47" i="17"/>
  <c r="W46" i="17"/>
  <c r="V46" i="17"/>
  <c r="U46" i="17"/>
  <c r="W45" i="17"/>
  <c r="V45" i="17"/>
  <c r="U45" i="17"/>
  <c r="W44" i="17"/>
  <c r="V44" i="17"/>
  <c r="U44" i="17"/>
  <c r="W43" i="17"/>
  <c r="V43" i="17"/>
  <c r="U43" i="17"/>
  <c r="W42" i="17"/>
  <c r="V42" i="17"/>
  <c r="U42" i="17"/>
  <c r="W41" i="17"/>
  <c r="V41" i="17"/>
  <c r="U41" i="17"/>
  <c r="W48" i="18"/>
  <c r="V48" i="18"/>
  <c r="U48" i="18"/>
  <c r="W47" i="18"/>
  <c r="V47" i="18"/>
  <c r="U47" i="18"/>
  <c r="W46" i="18"/>
  <c r="V46" i="18"/>
  <c r="U46" i="18"/>
  <c r="W45" i="18"/>
  <c r="V45" i="18"/>
  <c r="U45" i="18"/>
  <c r="W44" i="18"/>
  <c r="V44" i="18"/>
  <c r="U44" i="18"/>
  <c r="W43" i="18"/>
  <c r="V43" i="18"/>
  <c r="U43" i="18"/>
  <c r="W42" i="18"/>
  <c r="V42" i="18"/>
  <c r="U42" i="18"/>
  <c r="W41" i="18"/>
  <c r="V41" i="18"/>
  <c r="U41" i="18"/>
  <c r="W48" i="19"/>
  <c r="V48" i="19"/>
  <c r="U48" i="19"/>
  <c r="W47" i="19"/>
  <c r="V47" i="19"/>
  <c r="U47" i="19"/>
  <c r="W46" i="19"/>
  <c r="V46" i="19"/>
  <c r="U46" i="19"/>
  <c r="W45" i="19"/>
  <c r="V45" i="19"/>
  <c r="U45" i="19"/>
  <c r="W44" i="19"/>
  <c r="V44" i="19"/>
  <c r="U44" i="19"/>
  <c r="W43" i="19"/>
  <c r="V43" i="19"/>
  <c r="U43" i="19"/>
  <c r="W42" i="19"/>
  <c r="V42" i="19"/>
  <c r="U42" i="19"/>
  <c r="W41" i="19"/>
  <c r="V41" i="19"/>
  <c r="U41" i="19"/>
  <c r="W48" i="20"/>
  <c r="V48" i="20"/>
  <c r="U48" i="20"/>
  <c r="W47" i="20"/>
  <c r="V47" i="20"/>
  <c r="U47" i="20"/>
  <c r="W46" i="20"/>
  <c r="V46" i="20"/>
  <c r="U46" i="20"/>
  <c r="W45" i="20"/>
  <c r="V45" i="20"/>
  <c r="U45" i="20"/>
  <c r="W44" i="20"/>
  <c r="V44" i="20"/>
  <c r="U44" i="20"/>
  <c r="W43" i="20"/>
  <c r="V43" i="20"/>
  <c r="U43" i="20"/>
  <c r="W42" i="20"/>
  <c r="V42" i="20"/>
  <c r="U42" i="20"/>
  <c r="W41" i="20"/>
  <c r="V41" i="20"/>
  <c r="U41" i="20"/>
  <c r="W48" i="21"/>
  <c r="V48" i="21"/>
  <c r="U48" i="21"/>
  <c r="W47" i="21"/>
  <c r="V47" i="21"/>
  <c r="U47" i="21"/>
  <c r="W46" i="21"/>
  <c r="V46" i="21"/>
  <c r="U46" i="21"/>
  <c r="W45" i="21"/>
  <c r="V45" i="21"/>
  <c r="U45" i="21"/>
  <c r="W44" i="21"/>
  <c r="V44" i="21"/>
  <c r="U44" i="21"/>
  <c r="W43" i="21"/>
  <c r="V43" i="21"/>
  <c r="U43" i="21"/>
  <c r="W42" i="21"/>
  <c r="V42" i="21"/>
  <c r="U42" i="21"/>
  <c r="W41" i="21"/>
  <c r="V41" i="21"/>
  <c r="U41" i="21"/>
  <c r="W48" i="5"/>
  <c r="V48" i="5"/>
  <c r="U48" i="5"/>
  <c r="W47" i="5"/>
  <c r="V47" i="5"/>
  <c r="U47" i="5"/>
  <c r="W46" i="5"/>
  <c r="V46" i="5"/>
  <c r="U46" i="5"/>
  <c r="W45" i="5"/>
  <c r="V45" i="5"/>
  <c r="U45" i="5"/>
  <c r="W44" i="5"/>
  <c r="V44" i="5"/>
  <c r="U44" i="5"/>
  <c r="W43" i="5"/>
  <c r="V43" i="5"/>
  <c r="U43" i="5"/>
  <c r="W42" i="5"/>
  <c r="V42" i="5"/>
  <c r="U42" i="5"/>
  <c r="W41" i="5"/>
  <c r="V41" i="5"/>
  <c r="U41" i="5"/>
  <c r="A47" i="7"/>
  <c r="A48" i="5"/>
  <c r="A47" i="5"/>
  <c r="A48" i="1"/>
  <c r="A47" i="1"/>
  <c r="V48" i="1"/>
  <c r="U48" i="1"/>
  <c r="V47" i="1"/>
  <c r="U47" i="1"/>
  <c r="V46" i="1"/>
  <c r="U46" i="1"/>
  <c r="V45" i="1"/>
  <c r="U45" i="1"/>
  <c r="V44" i="1"/>
  <c r="U44" i="1"/>
  <c r="V43" i="1"/>
  <c r="U43" i="1"/>
  <c r="V42" i="1"/>
  <c r="U42" i="1"/>
  <c r="V41" i="1"/>
  <c r="U41" i="1"/>
  <c r="W48" i="1"/>
  <c r="W47" i="1"/>
  <c r="W46" i="1"/>
  <c r="W45" i="1"/>
  <c r="W44" i="1"/>
  <c r="W43" i="1"/>
  <c r="W42" i="1"/>
  <c r="W41" i="1"/>
  <c r="E41" i="1"/>
  <c r="N48" i="7"/>
  <c r="M48" i="7"/>
  <c r="K48" i="7"/>
  <c r="I48" i="7"/>
  <c r="H48" i="7"/>
  <c r="F48" i="7"/>
  <c r="E48" i="7"/>
  <c r="N47" i="7"/>
  <c r="M47" i="7"/>
  <c r="K47" i="7"/>
  <c r="I47" i="7"/>
  <c r="H47" i="7"/>
  <c r="F47" i="7"/>
  <c r="E47" i="7"/>
  <c r="N46" i="7"/>
  <c r="M46" i="7"/>
  <c r="K46" i="7"/>
  <c r="I46" i="7"/>
  <c r="H46" i="7"/>
  <c r="F46" i="7"/>
  <c r="E46" i="7"/>
  <c r="N45" i="7"/>
  <c r="K45" i="7"/>
  <c r="I45" i="7"/>
  <c r="H45" i="7"/>
  <c r="F45" i="7"/>
  <c r="E45" i="7"/>
  <c r="N44" i="7"/>
  <c r="M44" i="7"/>
  <c r="K44" i="7"/>
  <c r="I44" i="7"/>
  <c r="H44" i="7"/>
  <c r="F44" i="7"/>
  <c r="E44" i="7"/>
  <c r="N43" i="7"/>
  <c r="M43" i="7"/>
  <c r="K43" i="7"/>
  <c r="I43" i="7"/>
  <c r="H43" i="7"/>
  <c r="F43" i="7"/>
  <c r="E43" i="7"/>
  <c r="N42" i="7"/>
  <c r="M42" i="7"/>
  <c r="K42" i="7"/>
  <c r="I42" i="7"/>
  <c r="H42" i="7"/>
  <c r="F42" i="7"/>
  <c r="E42" i="7"/>
  <c r="N41" i="7"/>
  <c r="M41" i="7"/>
  <c r="K41" i="7"/>
  <c r="I41" i="7"/>
  <c r="H41" i="7"/>
  <c r="F41" i="7"/>
  <c r="E41" i="7"/>
  <c r="N48" i="8"/>
  <c r="M48" i="8"/>
  <c r="K48" i="8"/>
  <c r="I48" i="8"/>
  <c r="H48" i="8"/>
  <c r="F48" i="8"/>
  <c r="E48" i="8"/>
  <c r="N47" i="8"/>
  <c r="M47" i="8"/>
  <c r="K47" i="8"/>
  <c r="I47" i="8"/>
  <c r="H47" i="8"/>
  <c r="F47" i="8"/>
  <c r="E47" i="8"/>
  <c r="N46" i="8"/>
  <c r="M46" i="8"/>
  <c r="K46" i="8"/>
  <c r="I46" i="8"/>
  <c r="H46" i="8"/>
  <c r="F46" i="8"/>
  <c r="E46" i="8"/>
  <c r="N45" i="8"/>
  <c r="K45" i="8"/>
  <c r="I45" i="8"/>
  <c r="H45" i="8"/>
  <c r="F45" i="8"/>
  <c r="E45" i="8"/>
  <c r="N44" i="8"/>
  <c r="M44" i="8"/>
  <c r="K44" i="8"/>
  <c r="I44" i="8"/>
  <c r="H44" i="8"/>
  <c r="F44" i="8"/>
  <c r="E44" i="8"/>
  <c r="N43" i="8"/>
  <c r="M43" i="8"/>
  <c r="K43" i="8"/>
  <c r="I43" i="8"/>
  <c r="H43" i="8"/>
  <c r="F43" i="8"/>
  <c r="E43" i="8"/>
  <c r="N42" i="8"/>
  <c r="M42" i="8"/>
  <c r="K42" i="8"/>
  <c r="I42" i="8"/>
  <c r="H42" i="8"/>
  <c r="F42" i="8"/>
  <c r="E42" i="8"/>
  <c r="N41" i="8"/>
  <c r="M41" i="8"/>
  <c r="K41" i="8"/>
  <c r="I41" i="8"/>
  <c r="H41" i="8"/>
  <c r="F41" i="8"/>
  <c r="E41" i="8"/>
  <c r="N48" i="9"/>
  <c r="M48" i="9"/>
  <c r="K48" i="9"/>
  <c r="I48" i="9"/>
  <c r="H48" i="9"/>
  <c r="F48" i="9"/>
  <c r="E48" i="9"/>
  <c r="N47" i="9"/>
  <c r="M47" i="9"/>
  <c r="K47" i="9"/>
  <c r="I47" i="9"/>
  <c r="H47" i="9"/>
  <c r="F47" i="9"/>
  <c r="E47" i="9"/>
  <c r="N46" i="9"/>
  <c r="M46" i="9"/>
  <c r="K46" i="9"/>
  <c r="I46" i="9"/>
  <c r="H46" i="9"/>
  <c r="F46" i="9"/>
  <c r="E46" i="9"/>
  <c r="N45" i="9"/>
  <c r="K45" i="9"/>
  <c r="I45" i="9"/>
  <c r="H45" i="9"/>
  <c r="F45" i="9"/>
  <c r="E45" i="9"/>
  <c r="N44" i="9"/>
  <c r="M44" i="9"/>
  <c r="K44" i="9"/>
  <c r="I44" i="9"/>
  <c r="H44" i="9"/>
  <c r="F44" i="9"/>
  <c r="E44" i="9"/>
  <c r="N43" i="9"/>
  <c r="M43" i="9"/>
  <c r="K43" i="9"/>
  <c r="I43" i="9"/>
  <c r="H43" i="9"/>
  <c r="F43" i="9"/>
  <c r="E43" i="9"/>
  <c r="N42" i="9"/>
  <c r="M42" i="9"/>
  <c r="K42" i="9"/>
  <c r="I42" i="9"/>
  <c r="H42" i="9"/>
  <c r="F42" i="9"/>
  <c r="E42" i="9"/>
  <c r="N41" i="9"/>
  <c r="M41" i="9"/>
  <c r="K41" i="9"/>
  <c r="I41" i="9"/>
  <c r="H41" i="9"/>
  <c r="F41" i="9"/>
  <c r="E41" i="9"/>
  <c r="N48" i="10"/>
  <c r="M48" i="10"/>
  <c r="K48" i="10"/>
  <c r="I48" i="10"/>
  <c r="H48" i="10"/>
  <c r="F48" i="10"/>
  <c r="E48" i="10"/>
  <c r="N47" i="10"/>
  <c r="M47" i="10"/>
  <c r="K47" i="10"/>
  <c r="I47" i="10"/>
  <c r="H47" i="10"/>
  <c r="F47" i="10"/>
  <c r="E47" i="10"/>
  <c r="N46" i="10"/>
  <c r="M46" i="10"/>
  <c r="K46" i="10"/>
  <c r="I46" i="10"/>
  <c r="H46" i="10"/>
  <c r="F46" i="10"/>
  <c r="E46" i="10"/>
  <c r="N45" i="10"/>
  <c r="K45" i="10"/>
  <c r="I45" i="10"/>
  <c r="H45" i="10"/>
  <c r="F45" i="10"/>
  <c r="E45" i="10"/>
  <c r="N44" i="10"/>
  <c r="M44" i="10"/>
  <c r="K44" i="10"/>
  <c r="I44" i="10"/>
  <c r="H44" i="10"/>
  <c r="F44" i="10"/>
  <c r="E44" i="10"/>
  <c r="N43" i="10"/>
  <c r="M43" i="10"/>
  <c r="K43" i="10"/>
  <c r="I43" i="10"/>
  <c r="H43" i="10"/>
  <c r="F43" i="10"/>
  <c r="E43" i="10"/>
  <c r="N42" i="10"/>
  <c r="M42" i="10"/>
  <c r="K42" i="10"/>
  <c r="I42" i="10"/>
  <c r="H42" i="10"/>
  <c r="F42" i="10"/>
  <c r="E42" i="10"/>
  <c r="N41" i="10"/>
  <c r="M41" i="10"/>
  <c r="K41" i="10"/>
  <c r="I41" i="10"/>
  <c r="H41" i="10"/>
  <c r="F41" i="10"/>
  <c r="E41" i="10"/>
  <c r="N48" i="11"/>
  <c r="M48" i="11"/>
  <c r="K48" i="11"/>
  <c r="I48" i="11"/>
  <c r="H48" i="11"/>
  <c r="F48" i="11"/>
  <c r="E48" i="11"/>
  <c r="N47" i="11"/>
  <c r="M47" i="11"/>
  <c r="K47" i="11"/>
  <c r="I47" i="11"/>
  <c r="H47" i="11"/>
  <c r="F47" i="11"/>
  <c r="E47" i="11"/>
  <c r="N46" i="11"/>
  <c r="M46" i="11"/>
  <c r="K46" i="11"/>
  <c r="I46" i="11"/>
  <c r="H46" i="11"/>
  <c r="F46" i="11"/>
  <c r="E46" i="11"/>
  <c r="N45" i="11"/>
  <c r="K45" i="11"/>
  <c r="I45" i="11"/>
  <c r="H45" i="11"/>
  <c r="F45" i="11"/>
  <c r="E45" i="11"/>
  <c r="N44" i="11"/>
  <c r="M44" i="11"/>
  <c r="K44" i="11"/>
  <c r="I44" i="11"/>
  <c r="H44" i="11"/>
  <c r="F44" i="11"/>
  <c r="E44" i="11"/>
  <c r="N43" i="11"/>
  <c r="M43" i="11"/>
  <c r="K43" i="11"/>
  <c r="I43" i="11"/>
  <c r="H43" i="11"/>
  <c r="F43" i="11"/>
  <c r="E43" i="11"/>
  <c r="N42" i="11"/>
  <c r="M42" i="11"/>
  <c r="K42" i="11"/>
  <c r="I42" i="11"/>
  <c r="H42" i="11"/>
  <c r="F42" i="11"/>
  <c r="E42" i="11"/>
  <c r="N41" i="11"/>
  <c r="M41" i="11"/>
  <c r="K41" i="11"/>
  <c r="I41" i="11"/>
  <c r="H41" i="11"/>
  <c r="F41" i="11"/>
  <c r="E41" i="11"/>
  <c r="N48" i="12"/>
  <c r="M48" i="12"/>
  <c r="K48" i="12"/>
  <c r="I48" i="12"/>
  <c r="H48" i="12"/>
  <c r="F48" i="12"/>
  <c r="E48" i="12"/>
  <c r="N47" i="12"/>
  <c r="M47" i="12"/>
  <c r="K47" i="12"/>
  <c r="I47" i="12"/>
  <c r="H47" i="12"/>
  <c r="F47" i="12"/>
  <c r="E47" i="12"/>
  <c r="N46" i="12"/>
  <c r="M46" i="12"/>
  <c r="K46" i="12"/>
  <c r="I46" i="12"/>
  <c r="H46" i="12"/>
  <c r="F46" i="12"/>
  <c r="E46" i="12"/>
  <c r="N45" i="12"/>
  <c r="K45" i="12"/>
  <c r="I45" i="12"/>
  <c r="H45" i="12"/>
  <c r="F45" i="12"/>
  <c r="E45" i="12"/>
  <c r="N44" i="12"/>
  <c r="M44" i="12"/>
  <c r="K44" i="12"/>
  <c r="I44" i="12"/>
  <c r="H44" i="12"/>
  <c r="F44" i="12"/>
  <c r="E44" i="12"/>
  <c r="N43" i="12"/>
  <c r="M43" i="12"/>
  <c r="K43" i="12"/>
  <c r="I43" i="12"/>
  <c r="H43" i="12"/>
  <c r="F43" i="12"/>
  <c r="E43" i="12"/>
  <c r="N42" i="12"/>
  <c r="M42" i="12"/>
  <c r="K42" i="12"/>
  <c r="I42" i="12"/>
  <c r="H42" i="12"/>
  <c r="F42" i="12"/>
  <c r="E42" i="12"/>
  <c r="N41" i="12"/>
  <c r="M41" i="12"/>
  <c r="K41" i="12"/>
  <c r="I41" i="12"/>
  <c r="H41" i="12"/>
  <c r="F41" i="12"/>
  <c r="E41" i="12"/>
  <c r="N48" i="13"/>
  <c r="M48" i="13"/>
  <c r="K48" i="13"/>
  <c r="I48" i="13"/>
  <c r="H48" i="13"/>
  <c r="F48" i="13"/>
  <c r="E48" i="13"/>
  <c r="N47" i="13"/>
  <c r="M47" i="13"/>
  <c r="K47" i="13"/>
  <c r="I47" i="13"/>
  <c r="H47" i="13"/>
  <c r="F47" i="13"/>
  <c r="E47" i="13"/>
  <c r="N46" i="13"/>
  <c r="M46" i="13"/>
  <c r="K46" i="13"/>
  <c r="I46" i="13"/>
  <c r="H46" i="13"/>
  <c r="F46" i="13"/>
  <c r="E46" i="13"/>
  <c r="N45" i="13"/>
  <c r="K45" i="13"/>
  <c r="I45" i="13"/>
  <c r="H45" i="13"/>
  <c r="F45" i="13"/>
  <c r="E45" i="13"/>
  <c r="N44" i="13"/>
  <c r="M44" i="13"/>
  <c r="K44" i="13"/>
  <c r="I44" i="13"/>
  <c r="H44" i="13"/>
  <c r="F44" i="13"/>
  <c r="E44" i="13"/>
  <c r="N43" i="13"/>
  <c r="M43" i="13"/>
  <c r="K43" i="13"/>
  <c r="I43" i="13"/>
  <c r="H43" i="13"/>
  <c r="F43" i="13"/>
  <c r="E43" i="13"/>
  <c r="N42" i="13"/>
  <c r="M42" i="13"/>
  <c r="K42" i="13"/>
  <c r="I42" i="13"/>
  <c r="H42" i="13"/>
  <c r="F42" i="13"/>
  <c r="E42" i="13"/>
  <c r="N41" i="13"/>
  <c r="M41" i="13"/>
  <c r="K41" i="13"/>
  <c r="I41" i="13"/>
  <c r="H41" i="13"/>
  <c r="F41" i="13"/>
  <c r="E41" i="13"/>
  <c r="N48" i="14"/>
  <c r="M48" i="14"/>
  <c r="K48" i="14"/>
  <c r="I48" i="14"/>
  <c r="H48" i="14"/>
  <c r="F48" i="14"/>
  <c r="E48" i="14"/>
  <c r="N47" i="14"/>
  <c r="M47" i="14"/>
  <c r="K47" i="14"/>
  <c r="I47" i="14"/>
  <c r="H47" i="14"/>
  <c r="F47" i="14"/>
  <c r="E47" i="14"/>
  <c r="N46" i="14"/>
  <c r="M46" i="14"/>
  <c r="K46" i="14"/>
  <c r="I46" i="14"/>
  <c r="H46" i="14"/>
  <c r="F46" i="14"/>
  <c r="E46" i="14"/>
  <c r="N45" i="14"/>
  <c r="K45" i="14"/>
  <c r="I45" i="14"/>
  <c r="H45" i="14"/>
  <c r="F45" i="14"/>
  <c r="E45" i="14"/>
  <c r="N44" i="14"/>
  <c r="M44" i="14"/>
  <c r="K44" i="14"/>
  <c r="I44" i="14"/>
  <c r="H44" i="14"/>
  <c r="F44" i="14"/>
  <c r="E44" i="14"/>
  <c r="N43" i="14"/>
  <c r="M43" i="14"/>
  <c r="K43" i="14"/>
  <c r="I43" i="14"/>
  <c r="H43" i="14"/>
  <c r="F43" i="14"/>
  <c r="E43" i="14"/>
  <c r="N42" i="14"/>
  <c r="M42" i="14"/>
  <c r="K42" i="14"/>
  <c r="I42" i="14"/>
  <c r="H42" i="14"/>
  <c r="F42" i="14"/>
  <c r="E42" i="14"/>
  <c r="N41" i="14"/>
  <c r="M41" i="14"/>
  <c r="K41" i="14"/>
  <c r="I41" i="14"/>
  <c r="H41" i="14"/>
  <c r="F41" i="14"/>
  <c r="E41" i="14"/>
  <c r="N48" i="15"/>
  <c r="M48" i="15"/>
  <c r="K48" i="15"/>
  <c r="I48" i="15"/>
  <c r="H48" i="15"/>
  <c r="F48" i="15"/>
  <c r="E48" i="15"/>
  <c r="N47" i="15"/>
  <c r="M47" i="15"/>
  <c r="K47" i="15"/>
  <c r="I47" i="15"/>
  <c r="H47" i="15"/>
  <c r="F47" i="15"/>
  <c r="E47" i="15"/>
  <c r="N46" i="15"/>
  <c r="M46" i="15"/>
  <c r="K46" i="15"/>
  <c r="I46" i="15"/>
  <c r="H46" i="15"/>
  <c r="F46" i="15"/>
  <c r="E46" i="15"/>
  <c r="N45" i="15"/>
  <c r="K45" i="15"/>
  <c r="I45" i="15"/>
  <c r="H45" i="15"/>
  <c r="F45" i="15"/>
  <c r="E45" i="15"/>
  <c r="N44" i="15"/>
  <c r="M44" i="15"/>
  <c r="K44" i="15"/>
  <c r="I44" i="15"/>
  <c r="H44" i="15"/>
  <c r="F44" i="15"/>
  <c r="E44" i="15"/>
  <c r="N43" i="15"/>
  <c r="M43" i="15"/>
  <c r="K43" i="15"/>
  <c r="I43" i="15"/>
  <c r="H43" i="15"/>
  <c r="F43" i="15"/>
  <c r="E43" i="15"/>
  <c r="N42" i="15"/>
  <c r="M42" i="15"/>
  <c r="K42" i="15"/>
  <c r="I42" i="15"/>
  <c r="H42" i="15"/>
  <c r="F42" i="15"/>
  <c r="E42" i="15"/>
  <c r="N41" i="15"/>
  <c r="M41" i="15"/>
  <c r="K41" i="15"/>
  <c r="I41" i="15"/>
  <c r="H41" i="15"/>
  <c r="F41" i="15"/>
  <c r="E41" i="15"/>
  <c r="N48" i="16"/>
  <c r="M48" i="16"/>
  <c r="K48" i="16"/>
  <c r="I48" i="16"/>
  <c r="H48" i="16"/>
  <c r="F48" i="16"/>
  <c r="E48" i="16"/>
  <c r="N47" i="16"/>
  <c r="M47" i="16"/>
  <c r="K47" i="16"/>
  <c r="I47" i="16"/>
  <c r="H47" i="16"/>
  <c r="F47" i="16"/>
  <c r="E47" i="16"/>
  <c r="N46" i="16"/>
  <c r="M46" i="16"/>
  <c r="K46" i="16"/>
  <c r="I46" i="16"/>
  <c r="H46" i="16"/>
  <c r="F46" i="16"/>
  <c r="E46" i="16"/>
  <c r="N45" i="16"/>
  <c r="K45" i="16"/>
  <c r="I45" i="16"/>
  <c r="H45" i="16"/>
  <c r="F45" i="16"/>
  <c r="E45" i="16"/>
  <c r="N44" i="16"/>
  <c r="M44" i="16"/>
  <c r="K44" i="16"/>
  <c r="I44" i="16"/>
  <c r="H44" i="16"/>
  <c r="F44" i="16"/>
  <c r="E44" i="16"/>
  <c r="N43" i="16"/>
  <c r="M43" i="16"/>
  <c r="K43" i="16"/>
  <c r="I43" i="16"/>
  <c r="H43" i="16"/>
  <c r="F43" i="16"/>
  <c r="E43" i="16"/>
  <c r="N42" i="16"/>
  <c r="M42" i="16"/>
  <c r="K42" i="16"/>
  <c r="I42" i="16"/>
  <c r="H42" i="16"/>
  <c r="F42" i="16"/>
  <c r="E42" i="16"/>
  <c r="N41" i="16"/>
  <c r="M41" i="16"/>
  <c r="K41" i="16"/>
  <c r="I41" i="16"/>
  <c r="H41" i="16"/>
  <c r="F41" i="16"/>
  <c r="E41" i="16"/>
  <c r="N48" i="17"/>
  <c r="M48" i="17"/>
  <c r="K48" i="17"/>
  <c r="I48" i="17"/>
  <c r="H48" i="17"/>
  <c r="F48" i="17"/>
  <c r="E48" i="17"/>
  <c r="N47" i="17"/>
  <c r="M47" i="17"/>
  <c r="K47" i="17"/>
  <c r="I47" i="17"/>
  <c r="H47" i="17"/>
  <c r="F47" i="17"/>
  <c r="E47" i="17"/>
  <c r="N46" i="17"/>
  <c r="M46" i="17"/>
  <c r="K46" i="17"/>
  <c r="I46" i="17"/>
  <c r="H46" i="17"/>
  <c r="F46" i="17"/>
  <c r="E46" i="17"/>
  <c r="N45" i="17"/>
  <c r="K45" i="17"/>
  <c r="I45" i="17"/>
  <c r="H45" i="17"/>
  <c r="F45" i="17"/>
  <c r="E45" i="17"/>
  <c r="N44" i="17"/>
  <c r="M44" i="17"/>
  <c r="K44" i="17"/>
  <c r="I44" i="17"/>
  <c r="H44" i="17"/>
  <c r="F44" i="17"/>
  <c r="E44" i="17"/>
  <c r="N43" i="17"/>
  <c r="M43" i="17"/>
  <c r="K43" i="17"/>
  <c r="I43" i="17"/>
  <c r="H43" i="17"/>
  <c r="F43" i="17"/>
  <c r="E43" i="17"/>
  <c r="N42" i="17"/>
  <c r="M42" i="17"/>
  <c r="K42" i="17"/>
  <c r="I42" i="17"/>
  <c r="H42" i="17"/>
  <c r="F42" i="17"/>
  <c r="E42" i="17"/>
  <c r="N41" i="17"/>
  <c r="M41" i="17"/>
  <c r="K41" i="17"/>
  <c r="I41" i="17"/>
  <c r="H41" i="17"/>
  <c r="F41" i="17"/>
  <c r="E41" i="17"/>
  <c r="N48" i="18"/>
  <c r="M48" i="18"/>
  <c r="K48" i="18"/>
  <c r="I48" i="18"/>
  <c r="H48" i="18"/>
  <c r="F48" i="18"/>
  <c r="E48" i="18"/>
  <c r="N47" i="18"/>
  <c r="M47" i="18"/>
  <c r="K47" i="18"/>
  <c r="I47" i="18"/>
  <c r="H47" i="18"/>
  <c r="F47" i="18"/>
  <c r="E47" i="18"/>
  <c r="N46" i="18"/>
  <c r="M46" i="18"/>
  <c r="K46" i="18"/>
  <c r="I46" i="18"/>
  <c r="H46" i="18"/>
  <c r="F46" i="18"/>
  <c r="E46" i="18"/>
  <c r="N45" i="18"/>
  <c r="K45" i="18"/>
  <c r="I45" i="18"/>
  <c r="H45" i="18"/>
  <c r="F45" i="18"/>
  <c r="E45" i="18"/>
  <c r="N44" i="18"/>
  <c r="M44" i="18"/>
  <c r="K44" i="18"/>
  <c r="I44" i="18"/>
  <c r="H44" i="18"/>
  <c r="F44" i="18"/>
  <c r="E44" i="18"/>
  <c r="N43" i="18"/>
  <c r="M43" i="18"/>
  <c r="K43" i="18"/>
  <c r="I43" i="18"/>
  <c r="H43" i="18"/>
  <c r="F43" i="18"/>
  <c r="E43" i="18"/>
  <c r="N42" i="18"/>
  <c r="M42" i="18"/>
  <c r="K42" i="18"/>
  <c r="I42" i="18"/>
  <c r="H42" i="18"/>
  <c r="F42" i="18"/>
  <c r="E42" i="18"/>
  <c r="N41" i="18"/>
  <c r="M41" i="18"/>
  <c r="K41" i="18"/>
  <c r="I41" i="18"/>
  <c r="H41" i="18"/>
  <c r="F41" i="18"/>
  <c r="E41" i="18"/>
  <c r="N48" i="19"/>
  <c r="M48" i="19"/>
  <c r="K48" i="19"/>
  <c r="I48" i="19"/>
  <c r="H48" i="19"/>
  <c r="F48" i="19"/>
  <c r="E48" i="19"/>
  <c r="N47" i="19"/>
  <c r="M47" i="19"/>
  <c r="K47" i="19"/>
  <c r="I47" i="19"/>
  <c r="H47" i="19"/>
  <c r="F47" i="19"/>
  <c r="E47" i="19"/>
  <c r="N46" i="19"/>
  <c r="M46" i="19"/>
  <c r="K46" i="19"/>
  <c r="I46" i="19"/>
  <c r="H46" i="19"/>
  <c r="F46" i="19"/>
  <c r="E46" i="19"/>
  <c r="N45" i="19"/>
  <c r="K45" i="19"/>
  <c r="I45" i="19"/>
  <c r="H45" i="19"/>
  <c r="F45" i="19"/>
  <c r="E45" i="19"/>
  <c r="M44" i="19"/>
  <c r="K44" i="19"/>
  <c r="I44" i="19"/>
  <c r="H44" i="19"/>
  <c r="F44" i="19"/>
  <c r="E44" i="19"/>
  <c r="N43" i="19"/>
  <c r="M43" i="19"/>
  <c r="K43" i="19"/>
  <c r="I43" i="19"/>
  <c r="H43" i="19"/>
  <c r="F43" i="19"/>
  <c r="E43" i="19"/>
  <c r="N42" i="19"/>
  <c r="M42" i="19"/>
  <c r="K42" i="19"/>
  <c r="I42" i="19"/>
  <c r="H42" i="19"/>
  <c r="F42" i="19"/>
  <c r="E42" i="19"/>
  <c r="N41" i="19"/>
  <c r="M41" i="19"/>
  <c r="K41" i="19"/>
  <c r="I41" i="19"/>
  <c r="H41" i="19"/>
  <c r="F41" i="19"/>
  <c r="E41" i="19"/>
  <c r="N48" i="20"/>
  <c r="M48" i="20"/>
  <c r="K48" i="20"/>
  <c r="I48" i="20"/>
  <c r="H48" i="20"/>
  <c r="F48" i="20"/>
  <c r="E48" i="20"/>
  <c r="N47" i="20"/>
  <c r="M47" i="20"/>
  <c r="K47" i="20"/>
  <c r="I47" i="20"/>
  <c r="H47" i="20"/>
  <c r="F47" i="20"/>
  <c r="E47" i="20"/>
  <c r="N46" i="20"/>
  <c r="M46" i="20"/>
  <c r="K46" i="20"/>
  <c r="I46" i="20"/>
  <c r="H46" i="20"/>
  <c r="F46" i="20"/>
  <c r="E46" i="20"/>
  <c r="N45" i="20"/>
  <c r="K45" i="20"/>
  <c r="I45" i="20"/>
  <c r="H45" i="20"/>
  <c r="F45" i="20"/>
  <c r="E45" i="20"/>
  <c r="M44" i="20"/>
  <c r="K44" i="20"/>
  <c r="I44" i="20"/>
  <c r="H44" i="20"/>
  <c r="F44" i="20"/>
  <c r="E44" i="20"/>
  <c r="N43" i="20"/>
  <c r="M43" i="20"/>
  <c r="K43" i="20"/>
  <c r="I43" i="20"/>
  <c r="H43" i="20"/>
  <c r="F43" i="20"/>
  <c r="E43" i="20"/>
  <c r="N42" i="20"/>
  <c r="M42" i="20"/>
  <c r="K42" i="20"/>
  <c r="I42" i="20"/>
  <c r="H42" i="20"/>
  <c r="F42" i="20"/>
  <c r="E42" i="20"/>
  <c r="N41" i="20"/>
  <c r="M41" i="20"/>
  <c r="K41" i="20"/>
  <c r="I41" i="20"/>
  <c r="H41" i="20"/>
  <c r="F41" i="20"/>
  <c r="E41" i="20"/>
  <c r="N48" i="21"/>
  <c r="M48" i="21"/>
  <c r="K48" i="21"/>
  <c r="I48" i="21"/>
  <c r="H48" i="21"/>
  <c r="F48" i="21"/>
  <c r="E48" i="21"/>
  <c r="N47" i="21"/>
  <c r="M47" i="21"/>
  <c r="K47" i="21"/>
  <c r="I47" i="21"/>
  <c r="H47" i="21"/>
  <c r="F47" i="21"/>
  <c r="E47" i="21"/>
  <c r="N46" i="21"/>
  <c r="M46" i="21"/>
  <c r="K46" i="21"/>
  <c r="I46" i="21"/>
  <c r="H46" i="21"/>
  <c r="F46" i="21"/>
  <c r="E46" i="21"/>
  <c r="N45" i="21"/>
  <c r="K45" i="21"/>
  <c r="I45" i="21"/>
  <c r="H45" i="21"/>
  <c r="F45" i="21"/>
  <c r="E45" i="21"/>
  <c r="M44" i="21"/>
  <c r="K44" i="21"/>
  <c r="I44" i="21"/>
  <c r="H44" i="21"/>
  <c r="F44" i="21"/>
  <c r="E44" i="21"/>
  <c r="N43" i="21"/>
  <c r="M43" i="21"/>
  <c r="K43" i="21"/>
  <c r="I43" i="21"/>
  <c r="H43" i="21"/>
  <c r="F43" i="21"/>
  <c r="E43" i="21"/>
  <c r="N42" i="21"/>
  <c r="M42" i="21"/>
  <c r="K42" i="21"/>
  <c r="I42" i="21"/>
  <c r="H42" i="21"/>
  <c r="F42" i="21"/>
  <c r="E42" i="21"/>
  <c r="N41" i="21"/>
  <c r="M41" i="21"/>
  <c r="K41" i="21"/>
  <c r="I41" i="21"/>
  <c r="H41" i="21"/>
  <c r="F41" i="21"/>
  <c r="E41" i="21"/>
  <c r="N48" i="5"/>
  <c r="M48" i="5"/>
  <c r="K48" i="5"/>
  <c r="I48" i="5"/>
  <c r="H48" i="5"/>
  <c r="F48" i="5"/>
  <c r="E48" i="5"/>
  <c r="N47" i="5"/>
  <c r="M47" i="5"/>
  <c r="K47" i="5"/>
  <c r="I47" i="5"/>
  <c r="H47" i="5"/>
  <c r="F47" i="5"/>
  <c r="E47" i="5"/>
  <c r="N46" i="5"/>
  <c r="M46" i="5"/>
  <c r="K46" i="5"/>
  <c r="I46" i="5"/>
  <c r="H46" i="5"/>
  <c r="F46" i="5"/>
  <c r="E46" i="5"/>
  <c r="N45" i="5"/>
  <c r="K45" i="5"/>
  <c r="I45" i="5"/>
  <c r="H45" i="5"/>
  <c r="F45" i="5"/>
  <c r="E45" i="5"/>
  <c r="N44" i="5"/>
  <c r="M44" i="5"/>
  <c r="K44" i="5"/>
  <c r="I44" i="5"/>
  <c r="H44" i="5"/>
  <c r="F44" i="5"/>
  <c r="E44" i="5"/>
  <c r="N43" i="5"/>
  <c r="M43" i="5"/>
  <c r="K43" i="5"/>
  <c r="I43" i="5"/>
  <c r="H43" i="5"/>
  <c r="F43" i="5"/>
  <c r="E43" i="5"/>
  <c r="N42" i="5"/>
  <c r="M42" i="5"/>
  <c r="K42" i="5"/>
  <c r="I42" i="5"/>
  <c r="H42" i="5"/>
  <c r="F42" i="5"/>
  <c r="E42" i="5"/>
  <c r="N41" i="5"/>
  <c r="M41" i="5"/>
  <c r="K41" i="5"/>
  <c r="I41" i="5"/>
  <c r="H41" i="5"/>
  <c r="F41" i="5"/>
  <c r="E41" i="5"/>
  <c r="N48" i="1"/>
  <c r="N47" i="1"/>
  <c r="N46" i="1"/>
  <c r="N45" i="1"/>
  <c r="N44" i="1"/>
  <c r="N43" i="1"/>
  <c r="N42" i="1"/>
  <c r="N41" i="1"/>
  <c r="M48" i="1"/>
  <c r="M47" i="1"/>
  <c r="M46" i="1"/>
  <c r="M44" i="1"/>
  <c r="M43" i="1"/>
  <c r="M42" i="1"/>
  <c r="M41" i="1"/>
  <c r="K48" i="1"/>
  <c r="K47" i="1"/>
  <c r="K46" i="1"/>
  <c r="K45" i="1"/>
  <c r="K44" i="1"/>
  <c r="K43" i="1"/>
  <c r="K42" i="1"/>
  <c r="K41" i="1"/>
  <c r="I41" i="1"/>
  <c r="I48" i="1"/>
  <c r="I47" i="1"/>
  <c r="I46" i="1"/>
  <c r="I45" i="1"/>
  <c r="I44" i="1"/>
  <c r="I43" i="1"/>
  <c r="I42" i="1"/>
  <c r="H48" i="1"/>
  <c r="H47" i="1"/>
  <c r="H46" i="1"/>
  <c r="H45" i="1"/>
  <c r="H44" i="1"/>
  <c r="H43" i="1"/>
  <c r="H42" i="1"/>
  <c r="H41" i="1"/>
  <c r="F48" i="1"/>
  <c r="F47" i="1"/>
  <c r="F46" i="1"/>
  <c r="F45" i="1"/>
  <c r="F44" i="1"/>
  <c r="F43" i="1"/>
  <c r="F42" i="1"/>
  <c r="F41" i="1"/>
  <c r="E48" i="1"/>
  <c r="E47" i="1"/>
  <c r="E46" i="1"/>
  <c r="E45" i="1"/>
  <c r="E44" i="1"/>
  <c r="E43" i="1"/>
  <c r="E42" i="1"/>
  <c r="M35" i="13"/>
  <c r="M31" i="13"/>
  <c r="M18" i="13"/>
  <c r="M28" i="13"/>
  <c r="M27" i="13"/>
  <c r="M26" i="13"/>
  <c r="M22" i="13"/>
  <c r="M14" i="13"/>
  <c r="H22" i="15" l="1"/>
  <c r="E35" i="15"/>
  <c r="H26" i="15"/>
  <c r="E31" i="15"/>
  <c r="E18" i="15"/>
  <c r="H28" i="15"/>
  <c r="H14" i="15"/>
  <c r="E31" i="16"/>
  <c r="E18" i="16"/>
  <c r="H14" i="16"/>
  <c r="H28" i="16"/>
  <c r="H26" i="16"/>
  <c r="H22" i="16"/>
  <c r="E35" i="16"/>
  <c r="H19" i="50"/>
  <c r="E32" i="50"/>
  <c r="H24" i="50"/>
  <c r="H30" i="50"/>
  <c r="H13" i="50"/>
  <c r="E32" i="48"/>
  <c r="E18" i="17"/>
  <c r="E31" i="17"/>
  <c r="H28" i="17"/>
  <c r="H14" i="17"/>
  <c r="H26" i="17"/>
  <c r="E35" i="17"/>
  <c r="H22" i="17"/>
  <c r="E29" i="48"/>
  <c r="E34" i="48"/>
  <c r="H36" i="50"/>
  <c r="H37" i="48"/>
  <c r="R46" i="58"/>
  <c r="O48" i="56" a="1"/>
  <c r="O48" i="56" s="1"/>
  <c r="O48" i="58" a="1"/>
  <c r="O48" i="58" s="1"/>
  <c r="O41" i="58" a="1"/>
  <c r="O41" i="58" s="1"/>
  <c r="R44" i="55"/>
  <c r="O48" i="57" a="1"/>
  <c r="O48" i="57" s="1"/>
  <c r="O43" i="58" a="1"/>
  <c r="O43" i="58" s="1"/>
  <c r="O48" i="54" a="1"/>
  <c r="O48" i="54" s="1"/>
  <c r="T43" i="55"/>
  <c r="S42" i="58"/>
  <c r="S44" i="55"/>
  <c r="T44" i="57"/>
  <c r="R42" i="57"/>
  <c r="H32" i="21"/>
  <c r="H25" i="21"/>
  <c r="H17" i="21"/>
  <c r="E38" i="21"/>
  <c r="E30" i="21"/>
  <c r="H21" i="21"/>
  <c r="H32" i="19"/>
  <c r="E30" i="19"/>
  <c r="H25" i="19"/>
  <c r="H21" i="19"/>
  <c r="E38" i="19"/>
  <c r="E38" i="20"/>
  <c r="E30" i="20"/>
  <c r="H21" i="20"/>
  <c r="H32" i="20"/>
  <c r="H25" i="20"/>
  <c r="H17" i="20"/>
  <c r="H32" i="48"/>
  <c r="H25" i="48"/>
  <c r="H17" i="48"/>
  <c r="E38" i="48"/>
  <c r="E30" i="48"/>
  <c r="H21" i="48"/>
  <c r="E38" i="49"/>
  <c r="H17" i="49"/>
  <c r="H21" i="49"/>
  <c r="H25" i="49"/>
  <c r="E30" i="49"/>
  <c r="H32" i="49"/>
  <c r="H17" i="19"/>
  <c r="H32" i="10"/>
  <c r="E30" i="9"/>
  <c r="E29" i="20"/>
  <c r="H17" i="7"/>
  <c r="H24" i="17"/>
  <c r="H17" i="8"/>
  <c r="E30" i="17"/>
  <c r="O46" i="58" a="1"/>
  <c r="O46" i="58" s="1"/>
  <c r="R42" i="58"/>
  <c r="T44" i="58"/>
  <c r="T42" i="58"/>
  <c r="Q43" i="58"/>
  <c r="Q47" i="58"/>
  <c r="Q41" i="58"/>
  <c r="R43" i="58"/>
  <c r="Q46" i="58"/>
  <c r="R41" i="58"/>
  <c r="S43" i="58"/>
  <c r="O44" i="58" a="1"/>
  <c r="O44" i="58" s="1"/>
  <c r="S41" i="58"/>
  <c r="T43" i="58"/>
  <c r="Q44" i="58"/>
  <c r="T41" i="58"/>
  <c r="O42" i="58" a="1"/>
  <c r="O42" i="58" s="1"/>
  <c r="R44" i="58"/>
  <c r="Q42" i="58"/>
  <c r="S44" i="58"/>
  <c r="O41" i="57" a="1"/>
  <c r="O41" i="57" s="1"/>
  <c r="T43" i="57"/>
  <c r="S42" i="57"/>
  <c r="Q43" i="57"/>
  <c r="T42" i="57"/>
  <c r="O46" i="57" a="1"/>
  <c r="O46" i="57" s="1"/>
  <c r="Q41" i="57"/>
  <c r="R43" i="57"/>
  <c r="S45" i="57"/>
  <c r="Q46" i="57"/>
  <c r="R41" i="57"/>
  <c r="O44" i="57" a="1"/>
  <c r="O44" i="57" s="1"/>
  <c r="R46" i="57"/>
  <c r="S41" i="57"/>
  <c r="Q44" i="57"/>
  <c r="T41" i="57"/>
  <c r="O42" i="57" a="1"/>
  <c r="O42" i="57" s="1"/>
  <c r="S44" i="57"/>
  <c r="Q42" i="57"/>
  <c r="R42" i="56"/>
  <c r="T44" i="56"/>
  <c r="R46" i="56"/>
  <c r="O41" i="56" a="1"/>
  <c r="O41" i="56" s="1"/>
  <c r="O43" i="56" a="1"/>
  <c r="O43" i="56" s="1"/>
  <c r="Q42" i="56"/>
  <c r="S44" i="56"/>
  <c r="T42" i="56"/>
  <c r="Q41" i="56"/>
  <c r="Q43" i="56"/>
  <c r="O46" i="56" a="1"/>
  <c r="O46" i="56" s="1"/>
  <c r="Q47" i="56"/>
  <c r="S43" i="56"/>
  <c r="S45" i="56"/>
  <c r="Q46" i="56"/>
  <c r="R41" i="56"/>
  <c r="O44" i="56" a="1"/>
  <c r="O44" i="56" s="1"/>
  <c r="S41" i="56"/>
  <c r="T43" i="56"/>
  <c r="Q44" i="56"/>
  <c r="T41" i="56"/>
  <c r="O42" i="56" a="1"/>
  <c r="O42" i="56" s="1"/>
  <c r="R44" i="56"/>
  <c r="S44" i="54"/>
  <c r="T42" i="54"/>
  <c r="Q43" i="54"/>
  <c r="O46" i="54" a="1"/>
  <c r="O46" i="54" s="1"/>
  <c r="S41" i="54"/>
  <c r="R43" i="54"/>
  <c r="O44" i="54" a="1"/>
  <c r="O44" i="54" s="1"/>
  <c r="O47" i="54" a="1"/>
  <c r="O47" i="54" s="1"/>
  <c r="O42" i="54" a="1"/>
  <c r="O42" i="54" s="1"/>
  <c r="T41" i="54"/>
  <c r="R42" i="54"/>
  <c r="S43" i="55"/>
  <c r="Q46" i="55"/>
  <c r="O41" i="55" a="1"/>
  <c r="O41" i="55" s="1"/>
  <c r="Q42" i="55"/>
  <c r="Q45" i="55"/>
  <c r="R42" i="55"/>
  <c r="T44" i="55"/>
  <c r="O48" i="55" a="1"/>
  <c r="O48" i="55" s="1"/>
  <c r="T42" i="55"/>
  <c r="O43" i="55" a="1"/>
  <c r="O43" i="55" s="1"/>
  <c r="R45" i="55"/>
  <c r="T41" i="55"/>
  <c r="Q43" i="55"/>
  <c r="T45" i="55"/>
  <c r="O46" i="55" a="1"/>
  <c r="O46" i="55" s="1"/>
  <c r="O42" i="55" a="1"/>
  <c r="O42" i="55" s="1"/>
  <c r="O44" i="55" a="1"/>
  <c r="O44" i="55" s="1"/>
  <c r="R46" i="55"/>
  <c r="H28" i="1"/>
  <c r="R45" i="58"/>
  <c r="S45" i="58"/>
  <c r="R45" i="56"/>
  <c r="Q45" i="57"/>
  <c r="O45" i="58" a="1"/>
  <c r="O45" i="58" s="1"/>
  <c r="R45" i="57"/>
  <c r="Q45" i="58"/>
  <c r="O45" i="54" a="1"/>
  <c r="O45" i="54" s="1"/>
  <c r="O47" i="55" a="1"/>
  <c r="O47" i="55" s="1"/>
  <c r="Q45" i="56"/>
  <c r="O47" i="56" a="1"/>
  <c r="O47" i="56" s="1"/>
  <c r="O47" i="57" a="1"/>
  <c r="O47" i="57" s="1"/>
  <c r="R47" i="55"/>
  <c r="O45" i="57" a="1"/>
  <c r="O45" i="57" s="1"/>
  <c r="Q47" i="57"/>
  <c r="O47" i="58" a="1"/>
  <c r="O47" i="58" s="1"/>
  <c r="E16" i="49"/>
  <c r="H13" i="49"/>
  <c r="H34" i="50"/>
  <c r="H29" i="50"/>
  <c r="E21" i="49"/>
  <c r="E37" i="50"/>
  <c r="H24" i="49"/>
  <c r="H36" i="49"/>
  <c r="H12" i="50"/>
  <c r="E15" i="50"/>
  <c r="E11" i="49"/>
  <c r="E25" i="50"/>
  <c r="H11" i="49"/>
  <c r="H16" i="49"/>
  <c r="H27" i="49"/>
  <c r="H33" i="49"/>
  <c r="H38" i="49"/>
  <c r="H15" i="50"/>
  <c r="H20" i="50"/>
  <c r="H37" i="50"/>
  <c r="E12" i="49"/>
  <c r="E17" i="49"/>
  <c r="E23" i="49"/>
  <c r="E29" i="49"/>
  <c r="E34" i="49"/>
  <c r="E11" i="50"/>
  <c r="E16" i="50"/>
  <c r="E21" i="50"/>
  <c r="E27" i="50"/>
  <c r="E33" i="50"/>
  <c r="H27" i="21"/>
  <c r="H12" i="49"/>
  <c r="H23" i="49"/>
  <c r="H29" i="49"/>
  <c r="H34" i="49"/>
  <c r="H11" i="50"/>
  <c r="H16" i="50"/>
  <c r="H27" i="50"/>
  <c r="H33" i="50"/>
  <c r="H38" i="50"/>
  <c r="E13" i="49"/>
  <c r="E19" i="49"/>
  <c r="E24" i="49"/>
  <c r="E36" i="49"/>
  <c r="E12" i="50"/>
  <c r="E17" i="50"/>
  <c r="E23" i="50"/>
  <c r="E29" i="50"/>
  <c r="E34" i="50"/>
  <c r="H11" i="48"/>
  <c r="H15" i="48"/>
  <c r="H19" i="49"/>
  <c r="H30" i="49"/>
  <c r="H23" i="50"/>
  <c r="E15" i="49"/>
  <c r="E20" i="49"/>
  <c r="E25" i="49"/>
  <c r="E32" i="49"/>
  <c r="E37" i="49"/>
  <c r="E13" i="50"/>
  <c r="E19" i="50"/>
  <c r="E24" i="50"/>
  <c r="E36" i="50"/>
  <c r="H19" i="48"/>
  <c r="H15" i="49"/>
  <c r="H20" i="49"/>
  <c r="H37" i="49"/>
  <c r="H23" i="48"/>
  <c r="E27" i="49"/>
  <c r="E33" i="49"/>
  <c r="E20" i="50"/>
  <c r="E30" i="7"/>
  <c r="H30" i="48"/>
  <c r="H34" i="48"/>
  <c r="H38" i="48"/>
  <c r="H38" i="20"/>
  <c r="H25" i="17"/>
  <c r="H32" i="17"/>
  <c r="E38" i="10"/>
  <c r="E30" i="8"/>
  <c r="E11" i="48"/>
  <c r="E15" i="48"/>
  <c r="E19" i="48"/>
  <c r="E23" i="48"/>
  <c r="E27" i="48"/>
  <c r="E19" i="20"/>
  <c r="E16" i="17"/>
  <c r="E38" i="17"/>
  <c r="H27" i="48"/>
  <c r="H21" i="17"/>
  <c r="H38" i="17"/>
  <c r="H25" i="7"/>
  <c r="H32" i="7"/>
  <c r="E12" i="48"/>
  <c r="E16" i="48"/>
  <c r="E20" i="48"/>
  <c r="E24" i="48"/>
  <c r="E36" i="48"/>
  <c r="E24" i="21"/>
  <c r="E36" i="21"/>
  <c r="E16" i="20"/>
  <c r="E29" i="17"/>
  <c r="E38" i="7"/>
  <c r="H12" i="48"/>
  <c r="H16" i="48"/>
  <c r="H20" i="48"/>
  <c r="H24" i="48"/>
  <c r="H36" i="48"/>
  <c r="H12" i="20"/>
  <c r="H24" i="20"/>
  <c r="H12" i="17"/>
  <c r="H17" i="17"/>
  <c r="H21" i="7"/>
  <c r="E13" i="48"/>
  <c r="E17" i="48"/>
  <c r="E21" i="48"/>
  <c r="E25" i="48"/>
  <c r="E33" i="48"/>
  <c r="E37" i="48"/>
  <c r="E17" i="21"/>
  <c r="E19" i="17"/>
  <c r="E38" i="9"/>
  <c r="H13" i="48"/>
  <c r="H29" i="48"/>
  <c r="H33" i="48"/>
  <c r="H13" i="21"/>
  <c r="H33" i="21"/>
  <c r="H25" i="8"/>
  <c r="H32" i="8"/>
  <c r="E38" i="8"/>
  <c r="H21" i="8"/>
  <c r="H25" i="9"/>
  <c r="H32" i="9"/>
  <c r="H21" i="9"/>
  <c r="H17" i="9"/>
  <c r="H21" i="10"/>
  <c r="H17" i="10"/>
  <c r="E30" i="10"/>
  <c r="H25" i="10"/>
  <c r="E29" i="55"/>
  <c r="E19" i="55"/>
  <c r="E27" i="56"/>
  <c r="E20" i="58"/>
  <c r="E13" i="55"/>
  <c r="H30" i="54"/>
  <c r="H20" i="54"/>
  <c r="H13" i="55"/>
  <c r="H15" i="54"/>
  <c r="H34" i="54"/>
  <c r="H24" i="56"/>
  <c r="E29" i="56"/>
  <c r="E12" i="58"/>
  <c r="H16" i="54"/>
  <c r="E12" i="56"/>
  <c r="E37" i="54"/>
  <c r="E27" i="58"/>
  <c r="E13" i="54"/>
  <c r="E20" i="51"/>
  <c r="H15" i="56"/>
  <c r="E27" i="54"/>
  <c r="H24" i="57"/>
  <c r="E16" i="58"/>
  <c r="H23" i="54"/>
  <c r="H12" i="57"/>
  <c r="H12" i="58"/>
  <c r="E32" i="51"/>
  <c r="E20" i="55"/>
  <c r="E20" i="54"/>
  <c r="E19" i="58"/>
  <c r="H34" i="58"/>
  <c r="E11" i="54"/>
  <c r="H11" i="56"/>
  <c r="H37" i="56"/>
  <c r="H37" i="58"/>
  <c r="E12" i="54"/>
  <c r="E24" i="55"/>
  <c r="E32" i="56"/>
  <c r="E23" i="57"/>
  <c r="E17" i="58"/>
  <c r="H33" i="58"/>
  <c r="E23" i="54"/>
  <c r="H33" i="55"/>
  <c r="H19" i="56"/>
  <c r="H11" i="58"/>
  <c r="H24" i="54"/>
  <c r="H29" i="54"/>
  <c r="E34" i="54"/>
  <c r="E17" i="55"/>
  <c r="H20" i="56"/>
  <c r="H27" i="58"/>
  <c r="E23" i="55"/>
  <c r="E24" i="56"/>
  <c r="H38" i="57"/>
  <c r="E15" i="58"/>
  <c r="E25" i="58"/>
  <c r="E17" i="56"/>
  <c r="H19" i="57"/>
  <c r="E29" i="57"/>
  <c r="E13" i="57"/>
  <c r="E32" i="55"/>
  <c r="H13" i="56"/>
  <c r="H33" i="56"/>
  <c r="E15" i="57"/>
  <c r="H20" i="57"/>
  <c r="E25" i="57"/>
  <c r="H13" i="58"/>
  <c r="H19" i="58"/>
  <c r="E29" i="58"/>
  <c r="H16" i="57"/>
  <c r="H16" i="58"/>
  <c r="E23" i="58"/>
  <c r="E36" i="58"/>
  <c r="E33" i="54"/>
  <c r="E27" i="57"/>
  <c r="E17" i="51"/>
  <c r="H11" i="54"/>
  <c r="E19" i="54"/>
  <c r="H20" i="55"/>
  <c r="H23" i="55"/>
  <c r="H12" i="56"/>
  <c r="E15" i="56"/>
  <c r="H38" i="56"/>
  <c r="H13" i="57"/>
  <c r="E16" i="57"/>
  <c r="E19" i="57"/>
  <c r="H27" i="57"/>
  <c r="H30" i="57"/>
  <c r="E33" i="57"/>
  <c r="E36" i="57"/>
  <c r="H20" i="58"/>
  <c r="H19" i="54"/>
  <c r="E12" i="55"/>
  <c r="E16" i="54"/>
  <c r="H38" i="54"/>
  <c r="E15" i="55"/>
  <c r="E27" i="55"/>
  <c r="H30" i="55"/>
  <c r="E13" i="56"/>
  <c r="H30" i="56"/>
  <c r="E33" i="56"/>
  <c r="H11" i="57"/>
  <c r="E37" i="57"/>
  <c r="H38" i="58"/>
  <c r="H33" i="51"/>
  <c r="H12" i="54"/>
  <c r="E37" i="55"/>
  <c r="E16" i="56"/>
  <c r="E17" i="57"/>
  <c r="E20" i="57"/>
  <c r="E13" i="58"/>
  <c r="H34" i="55"/>
  <c r="H16" i="56"/>
  <c r="E37" i="56"/>
  <c r="E12" i="57"/>
  <c r="H23" i="57"/>
  <c r="H30" i="58"/>
  <c r="H34" i="56"/>
  <c r="E32" i="57"/>
  <c r="E21" i="54"/>
  <c r="E25" i="54"/>
  <c r="E20" i="56"/>
  <c r="H15" i="57"/>
  <c r="E34" i="58"/>
  <c r="T45" i="58"/>
  <c r="S46" i="58"/>
  <c r="R47" i="58"/>
  <c r="Q48" i="58"/>
  <c r="E21" i="58"/>
  <c r="T46" i="58"/>
  <c r="S47" i="58"/>
  <c r="R48" i="58"/>
  <c r="H29" i="58"/>
  <c r="T47" i="58"/>
  <c r="S48" i="58"/>
  <c r="E11" i="58"/>
  <c r="T48" i="58"/>
  <c r="E34" i="57"/>
  <c r="T45" i="57"/>
  <c r="S46" i="57"/>
  <c r="R47" i="57"/>
  <c r="Q48" i="57"/>
  <c r="H36" i="57"/>
  <c r="E21" i="57"/>
  <c r="O43" i="57" a="1"/>
  <c r="O43" i="57" s="1"/>
  <c r="T46" i="57"/>
  <c r="S47" i="57"/>
  <c r="R48" i="57"/>
  <c r="H29" i="57"/>
  <c r="T47" i="57"/>
  <c r="S48" i="57"/>
  <c r="T48" i="57"/>
  <c r="S43" i="57"/>
  <c r="R44" i="57"/>
  <c r="E34" i="56"/>
  <c r="T45" i="56"/>
  <c r="S46" i="56"/>
  <c r="R47" i="56"/>
  <c r="Q48" i="56"/>
  <c r="E21" i="56"/>
  <c r="T46" i="56"/>
  <c r="S47" i="56"/>
  <c r="R48" i="56"/>
  <c r="H29" i="56"/>
  <c r="T47" i="56"/>
  <c r="S48" i="56"/>
  <c r="E11" i="56"/>
  <c r="O45" i="56" a="1"/>
  <c r="O45" i="56" s="1"/>
  <c r="T48" i="56"/>
  <c r="S42" i="56"/>
  <c r="R43" i="56"/>
  <c r="E23" i="56"/>
  <c r="S45" i="55"/>
  <c r="E34" i="55"/>
  <c r="Q48" i="55"/>
  <c r="E21" i="55"/>
  <c r="Q41" i="55"/>
  <c r="T46" i="55"/>
  <c r="S47" i="55"/>
  <c r="R48" i="55"/>
  <c r="H29" i="55"/>
  <c r="H37" i="55"/>
  <c r="R41" i="55"/>
  <c r="T47" i="55"/>
  <c r="S48" i="55"/>
  <c r="E11" i="55"/>
  <c r="S41" i="55"/>
  <c r="O45" i="55" a="1"/>
  <c r="O45" i="55" s="1"/>
  <c r="T48" i="55"/>
  <c r="Q47" i="55"/>
  <c r="S46" i="55"/>
  <c r="H11" i="55"/>
  <c r="H19" i="55"/>
  <c r="S42" i="55"/>
  <c r="R43" i="55"/>
  <c r="Q44" i="55"/>
  <c r="E25" i="55"/>
  <c r="E33" i="55"/>
  <c r="S42" i="54"/>
  <c r="R44" i="54"/>
  <c r="E15" i="54"/>
  <c r="O41" i="54" a="1"/>
  <c r="O41" i="54" s="1"/>
  <c r="T44" i="54"/>
  <c r="S45" i="54"/>
  <c r="R46" i="54"/>
  <c r="Q47" i="54"/>
  <c r="T45" i="54"/>
  <c r="S46" i="54"/>
  <c r="R47" i="54"/>
  <c r="Q48" i="54"/>
  <c r="T43" i="54"/>
  <c r="R45" i="54"/>
  <c r="Q41" i="54"/>
  <c r="O43" i="54" a="1"/>
  <c r="O43" i="54" s="1"/>
  <c r="T46" i="54"/>
  <c r="S47" i="54"/>
  <c r="R48" i="54"/>
  <c r="H27" i="54"/>
  <c r="Q44" i="54"/>
  <c r="E17" i="54"/>
  <c r="S43" i="54"/>
  <c r="Q45" i="54"/>
  <c r="Q46" i="54"/>
  <c r="H13" i="54"/>
  <c r="E24" i="54"/>
  <c r="R41" i="54"/>
  <c r="Q42" i="54"/>
  <c r="T47" i="54"/>
  <c r="S48" i="54"/>
  <c r="H33" i="54"/>
  <c r="T48" i="54"/>
  <c r="T46" i="16"/>
  <c r="S47" i="19"/>
  <c r="T42" i="17"/>
  <c r="S47" i="11"/>
  <c r="R42" i="7"/>
  <c r="S44" i="15"/>
  <c r="R46" i="14"/>
  <c r="O46" i="10" a="1"/>
  <c r="O46" i="10" s="1"/>
  <c r="O46" i="9" a="1"/>
  <c r="O46" i="9" s="1"/>
  <c r="T46" i="8"/>
  <c r="R46" i="7"/>
  <c r="T46" i="5"/>
  <c r="T41" i="51"/>
  <c r="T43" i="49"/>
  <c r="S46" i="49"/>
  <c r="O46" i="15" a="1"/>
  <c r="O46" i="15" s="1"/>
  <c r="S46" i="15"/>
  <c r="O46" i="13" a="1"/>
  <c r="O46" i="13" s="1"/>
  <c r="R47" i="49"/>
  <c r="T47" i="48"/>
  <c r="R47" i="21"/>
  <c r="T47" i="20"/>
  <c r="T47" i="18"/>
  <c r="S45" i="50"/>
  <c r="S44" i="48"/>
  <c r="Q42" i="16"/>
  <c r="O44" i="10" a="1"/>
  <c r="O44" i="10" s="1"/>
  <c r="T42" i="8"/>
  <c r="T44" i="8"/>
  <c r="O42" i="5" a="1"/>
  <c r="O42" i="5" s="1"/>
  <c r="O41" i="18" a="1"/>
  <c r="O41" i="18" s="1"/>
  <c r="T48" i="18"/>
  <c r="T41" i="17"/>
  <c r="T48" i="17"/>
  <c r="O41" i="16" a="1"/>
  <c r="O41" i="16" s="1"/>
  <c r="R48" i="16"/>
  <c r="O41" i="15" a="1"/>
  <c r="O41" i="15" s="1"/>
  <c r="O48" i="15" a="1"/>
  <c r="O48" i="15" s="1"/>
  <c r="O41" i="14" a="1"/>
  <c r="O41" i="14" s="1"/>
  <c r="O48" i="14" a="1"/>
  <c r="O48" i="14" s="1"/>
  <c r="O41" i="13" a="1"/>
  <c r="O41" i="13" s="1"/>
  <c r="O48" i="13" a="1"/>
  <c r="O48" i="13" s="1"/>
  <c r="O41" i="10" a="1"/>
  <c r="O41" i="10" s="1"/>
  <c r="O48" i="10" a="1"/>
  <c r="O48" i="10" s="1"/>
  <c r="S41" i="9"/>
  <c r="O48" i="9" a="1"/>
  <c r="O48" i="9" s="1"/>
  <c r="O41" i="8" a="1"/>
  <c r="O41" i="8" s="1"/>
  <c r="T48" i="8"/>
  <c r="Q41" i="7"/>
  <c r="R48" i="7"/>
  <c r="S41" i="5"/>
  <c r="T48" i="5"/>
  <c r="R46" i="50"/>
  <c r="Q47" i="50"/>
  <c r="S47" i="48"/>
  <c r="O47" i="48" a="1"/>
  <c r="O47" i="48" s="1"/>
  <c r="S46" i="20"/>
  <c r="O47" i="19" a="1"/>
  <c r="O47" i="19" s="1"/>
  <c r="T47" i="17"/>
  <c r="O46" i="17" a="1"/>
  <c r="O46" i="17" s="1"/>
  <c r="Q47" i="16"/>
  <c r="S47" i="8"/>
  <c r="T44" i="50"/>
  <c r="O44" i="48" a="1"/>
  <c r="O44" i="48" s="1"/>
  <c r="T44" i="19"/>
  <c r="S45" i="16"/>
  <c r="Q44" i="16"/>
  <c r="T45" i="8"/>
  <c r="T42" i="50"/>
  <c r="T43" i="16"/>
  <c r="T43" i="8"/>
  <c r="R47" i="16"/>
  <c r="S48" i="16"/>
  <c r="S47" i="16"/>
  <c r="T48" i="16"/>
  <c r="T47" i="16"/>
  <c r="O47" i="16" a="1"/>
  <c r="O47" i="16" s="1"/>
  <c r="O48" i="16" a="1"/>
  <c r="O48" i="16" s="1"/>
  <c r="Q48" i="16"/>
  <c r="R48" i="8"/>
  <c r="T47" i="8"/>
  <c r="Q48" i="8"/>
  <c r="O47" i="8" a="1"/>
  <c r="O47" i="8" s="1"/>
  <c r="Q47" i="8"/>
  <c r="O48" i="8" a="1"/>
  <c r="O48" i="8" s="1"/>
  <c r="R47" i="8"/>
  <c r="S48" i="8"/>
  <c r="T45" i="16"/>
  <c r="O45" i="16" a="1"/>
  <c r="O45" i="16" s="1"/>
  <c r="O46" i="16" a="1"/>
  <c r="O46" i="16" s="1"/>
  <c r="Q46" i="16"/>
  <c r="Q45" i="16"/>
  <c r="R46" i="16"/>
  <c r="R45" i="16"/>
  <c r="S46" i="16"/>
  <c r="S45" i="8"/>
  <c r="Q46" i="8"/>
  <c r="O45" i="8" a="1"/>
  <c r="O45" i="8" s="1"/>
  <c r="Q45" i="8"/>
  <c r="R46" i="8"/>
  <c r="O46" i="8" a="1"/>
  <c r="O46" i="8" s="1"/>
  <c r="R45" i="8"/>
  <c r="S46" i="8"/>
  <c r="O43" i="8" a="1"/>
  <c r="O43" i="8" s="1"/>
  <c r="O44" i="8" a="1"/>
  <c r="O44" i="8" s="1"/>
  <c r="Q44" i="8"/>
  <c r="Q43" i="8"/>
  <c r="R44" i="8"/>
  <c r="R43" i="8"/>
  <c r="S44" i="8"/>
  <c r="S43" i="8"/>
  <c r="O47" i="51" a="1"/>
  <c r="O47" i="51" s="1"/>
  <c r="T46" i="18"/>
  <c r="O47" i="15" a="1"/>
  <c r="O47" i="15" s="1"/>
  <c r="Q47" i="14"/>
  <c r="S47" i="13"/>
  <c r="O47" i="12" a="1"/>
  <c r="O47" i="12" s="1"/>
  <c r="O47" i="10" a="1"/>
  <c r="O47" i="10" s="1"/>
  <c r="O47" i="9" a="1"/>
  <c r="O47" i="9" s="1"/>
  <c r="Q47" i="7"/>
  <c r="T47" i="5"/>
  <c r="T44" i="49"/>
  <c r="T45" i="49"/>
  <c r="T45" i="18"/>
  <c r="T44" i="18"/>
  <c r="T45" i="17"/>
  <c r="O44" i="17" a="1"/>
  <c r="O44" i="17" s="1"/>
  <c r="T45" i="15"/>
  <c r="T44" i="14"/>
  <c r="Q45" i="14"/>
  <c r="O44" i="13" a="1"/>
  <c r="O44" i="13" s="1"/>
  <c r="O45" i="13" a="1"/>
  <c r="O45" i="13" s="1"/>
  <c r="O44" i="12" a="1"/>
  <c r="O44" i="12" s="1"/>
  <c r="O44" i="11" a="1"/>
  <c r="O44" i="11" s="1"/>
  <c r="O45" i="10" a="1"/>
  <c r="O45" i="10" s="1"/>
  <c r="S44" i="9"/>
  <c r="T45" i="9"/>
  <c r="T44" i="7"/>
  <c r="Q45" i="7"/>
  <c r="T45" i="5"/>
  <c r="Q44" i="5"/>
  <c r="T43" i="51"/>
  <c r="O42" i="18" a="1"/>
  <c r="O42" i="18" s="1"/>
  <c r="T43" i="18"/>
  <c r="O43" i="17" a="1"/>
  <c r="O43" i="17" s="1"/>
  <c r="Q43" i="15"/>
  <c r="T42" i="15"/>
  <c r="S42" i="14"/>
  <c r="T43" i="14"/>
  <c r="O43" i="13" a="1"/>
  <c r="O43" i="13" s="1"/>
  <c r="Q42" i="13"/>
  <c r="O42" i="11" a="1"/>
  <c r="O42" i="11" s="1"/>
  <c r="O43" i="10" a="1"/>
  <c r="O43" i="10" s="1"/>
  <c r="O42" i="10" a="1"/>
  <c r="O42" i="10" s="1"/>
  <c r="Q43" i="9"/>
  <c r="T42" i="9"/>
  <c r="O43" i="7" a="1"/>
  <c r="O43" i="7" s="1"/>
  <c r="O43" i="5" a="1"/>
  <c r="O43" i="5" s="1"/>
  <c r="O43" i="1" a="1"/>
  <c r="O43" i="1" s="1"/>
  <c r="T48" i="50"/>
  <c r="O47" i="49" a="1"/>
  <c r="O47" i="49" s="1"/>
  <c r="Q48" i="49"/>
  <c r="O47" i="18" a="1"/>
  <c r="O47" i="18" s="1"/>
  <c r="Q48" i="18"/>
  <c r="O48" i="18" a="1"/>
  <c r="O48" i="18" s="1"/>
  <c r="Q47" i="18"/>
  <c r="R48" i="18"/>
  <c r="R47" i="18"/>
  <c r="S48" i="18"/>
  <c r="S47" i="18"/>
  <c r="Q48" i="17"/>
  <c r="Q47" i="17"/>
  <c r="R48" i="17"/>
  <c r="O47" i="17" a="1"/>
  <c r="O47" i="17" s="1"/>
  <c r="R47" i="17"/>
  <c r="S48" i="17"/>
  <c r="O48" i="17" a="1"/>
  <c r="O48" i="17" s="1"/>
  <c r="S47" i="17"/>
  <c r="Q48" i="15"/>
  <c r="Q47" i="15"/>
  <c r="R48" i="15"/>
  <c r="R47" i="15"/>
  <c r="S48" i="15"/>
  <c r="S47" i="15"/>
  <c r="T48" i="15"/>
  <c r="T47" i="15"/>
  <c r="R47" i="14"/>
  <c r="S48" i="14"/>
  <c r="S47" i="14"/>
  <c r="T48" i="14"/>
  <c r="T47" i="14"/>
  <c r="Q48" i="14"/>
  <c r="O47" i="14" a="1"/>
  <c r="O47" i="14" s="1"/>
  <c r="R48" i="14"/>
  <c r="R47" i="13"/>
  <c r="T47" i="13"/>
  <c r="Q48" i="13"/>
  <c r="Q47" i="13"/>
  <c r="R48" i="13"/>
  <c r="S48" i="13"/>
  <c r="O47" i="13" a="1"/>
  <c r="O47" i="13" s="1"/>
  <c r="T48" i="13"/>
  <c r="Q48" i="9"/>
  <c r="Q47" i="9"/>
  <c r="R48" i="9"/>
  <c r="R47" i="9"/>
  <c r="S48" i="9"/>
  <c r="S47" i="9"/>
  <c r="T48" i="9"/>
  <c r="T47" i="9"/>
  <c r="R47" i="7"/>
  <c r="S48" i="7"/>
  <c r="S47" i="7"/>
  <c r="T48" i="7"/>
  <c r="T47" i="7"/>
  <c r="O47" i="7" a="1"/>
  <c r="O47" i="7" s="1"/>
  <c r="O48" i="7" a="1"/>
  <c r="O48" i="7" s="1"/>
  <c r="Q48" i="7"/>
  <c r="Q48" i="5"/>
  <c r="O47" i="5" a="1"/>
  <c r="O47" i="5" s="1"/>
  <c r="Q47" i="5"/>
  <c r="R48" i="5"/>
  <c r="O48" i="5" a="1"/>
  <c r="O48" i="5" s="1"/>
  <c r="R47" i="5"/>
  <c r="S48" i="5"/>
  <c r="S47" i="5"/>
  <c r="S45" i="51"/>
  <c r="T46" i="51"/>
  <c r="O46" i="50" a="1"/>
  <c r="O46" i="50" s="1"/>
  <c r="O46" i="21" a="1"/>
  <c r="O46" i="21" s="1"/>
  <c r="T46" i="19"/>
  <c r="O45" i="18" a="1"/>
  <c r="O45" i="18" s="1"/>
  <c r="Q46" i="18"/>
  <c r="O46" i="18" a="1"/>
  <c r="O46" i="18" s="1"/>
  <c r="Q45" i="18"/>
  <c r="R46" i="18"/>
  <c r="R45" i="18"/>
  <c r="S46" i="18"/>
  <c r="S45" i="18"/>
  <c r="T46" i="17"/>
  <c r="Q46" i="17"/>
  <c r="Q45" i="17"/>
  <c r="R46" i="17"/>
  <c r="R45" i="17"/>
  <c r="S46" i="17"/>
  <c r="S45" i="17"/>
  <c r="O45" i="17" a="1"/>
  <c r="O45" i="17" s="1"/>
  <c r="R45" i="15"/>
  <c r="Q46" i="15"/>
  <c r="Q45" i="15"/>
  <c r="R46" i="15"/>
  <c r="O45" i="15" a="1"/>
  <c r="O45" i="15" s="1"/>
  <c r="S45" i="15"/>
  <c r="T46" i="15"/>
  <c r="R45" i="14"/>
  <c r="S46" i="14"/>
  <c r="S45" i="14"/>
  <c r="T46" i="14"/>
  <c r="T45" i="14"/>
  <c r="O45" i="14" a="1"/>
  <c r="O45" i="14" s="1"/>
  <c r="O46" i="14" a="1"/>
  <c r="O46" i="14" s="1"/>
  <c r="Q46" i="14"/>
  <c r="S45" i="13"/>
  <c r="T45" i="13"/>
  <c r="Q46" i="13"/>
  <c r="Q45" i="13"/>
  <c r="R46" i="13"/>
  <c r="R45" i="13"/>
  <c r="S46" i="13"/>
  <c r="T46" i="13"/>
  <c r="T46" i="12"/>
  <c r="S45" i="12"/>
  <c r="R46" i="11"/>
  <c r="S46" i="10"/>
  <c r="Q46" i="9"/>
  <c r="Q45" i="9"/>
  <c r="R46" i="9"/>
  <c r="R45" i="9"/>
  <c r="S46" i="9"/>
  <c r="O45" i="9" a="1"/>
  <c r="O45" i="9" s="1"/>
  <c r="S45" i="9"/>
  <c r="T46" i="9"/>
  <c r="R45" i="7"/>
  <c r="S46" i="7"/>
  <c r="S45" i="7"/>
  <c r="T46" i="7"/>
  <c r="T45" i="7"/>
  <c r="O45" i="7" a="1"/>
  <c r="O45" i="7" s="1"/>
  <c r="O46" i="7" a="1"/>
  <c r="O46" i="7" s="1"/>
  <c r="Q46" i="7"/>
  <c r="O45" i="5" a="1"/>
  <c r="O45" i="5" s="1"/>
  <c r="O46" i="5" a="1"/>
  <c r="O46" i="5" s="1"/>
  <c r="Q46" i="5"/>
  <c r="Q45" i="5"/>
  <c r="R46" i="5"/>
  <c r="R45" i="5"/>
  <c r="S46" i="5"/>
  <c r="S45" i="5"/>
  <c r="R43" i="49"/>
  <c r="Q43" i="49"/>
  <c r="O43" i="49" a="1"/>
  <c r="O43" i="49" s="1"/>
  <c r="S44" i="21"/>
  <c r="T43" i="21"/>
  <c r="R43" i="20"/>
  <c r="Q44" i="20"/>
  <c r="S44" i="19"/>
  <c r="O43" i="19" a="1"/>
  <c r="O43" i="19" s="1"/>
  <c r="O43" i="18" a="1"/>
  <c r="O43" i="18" s="1"/>
  <c r="O44" i="18" a="1"/>
  <c r="O44" i="18" s="1"/>
  <c r="Q44" i="18"/>
  <c r="Q43" i="18"/>
  <c r="R44" i="18"/>
  <c r="R43" i="18"/>
  <c r="S44" i="18"/>
  <c r="S43" i="18"/>
  <c r="Q44" i="17"/>
  <c r="Q43" i="17"/>
  <c r="R44" i="17"/>
  <c r="R43" i="17"/>
  <c r="S44" i="17"/>
  <c r="S43" i="17"/>
  <c r="T44" i="17"/>
  <c r="T43" i="17"/>
  <c r="Q43" i="16"/>
  <c r="R44" i="16"/>
  <c r="R43" i="16"/>
  <c r="S44" i="16"/>
  <c r="O43" i="16" a="1"/>
  <c r="O43" i="16" s="1"/>
  <c r="S43" i="16"/>
  <c r="T44" i="16"/>
  <c r="O44" i="16" a="1"/>
  <c r="O44" i="16" s="1"/>
  <c r="R43" i="15"/>
  <c r="S43" i="15"/>
  <c r="T44" i="15"/>
  <c r="T43" i="15"/>
  <c r="Q44" i="15"/>
  <c r="O43" i="15" a="1"/>
  <c r="O43" i="15" s="1"/>
  <c r="R44" i="15"/>
  <c r="O44" i="15" a="1"/>
  <c r="O44" i="15" s="1"/>
  <c r="O43" i="14" a="1"/>
  <c r="O43" i="14" s="1"/>
  <c r="O44" i="14" a="1"/>
  <c r="O44" i="14" s="1"/>
  <c r="Q44" i="14"/>
  <c r="Q43" i="14"/>
  <c r="R44" i="14"/>
  <c r="R43" i="14"/>
  <c r="S44" i="14"/>
  <c r="S43" i="14"/>
  <c r="T44" i="13"/>
  <c r="Q44" i="13"/>
  <c r="Q43" i="13"/>
  <c r="R44" i="13"/>
  <c r="R43" i="13"/>
  <c r="S44" i="13"/>
  <c r="S43" i="13"/>
  <c r="T43" i="13"/>
  <c r="T43" i="12"/>
  <c r="O43" i="11" a="1"/>
  <c r="O43" i="11" s="1"/>
  <c r="R43" i="9"/>
  <c r="S43" i="9"/>
  <c r="T44" i="9"/>
  <c r="T43" i="9"/>
  <c r="Q44" i="9"/>
  <c r="O43" i="9" a="1"/>
  <c r="O43" i="9" s="1"/>
  <c r="R44" i="9"/>
  <c r="O44" i="9" a="1"/>
  <c r="O44" i="9" s="1"/>
  <c r="O44" i="7" a="1"/>
  <c r="O44" i="7" s="1"/>
  <c r="Q44" i="7"/>
  <c r="Q43" i="7"/>
  <c r="R44" i="7"/>
  <c r="R43" i="7"/>
  <c r="S44" i="7"/>
  <c r="S43" i="7"/>
  <c r="T43" i="7"/>
  <c r="Q43" i="5"/>
  <c r="R44" i="5"/>
  <c r="R43" i="5"/>
  <c r="S44" i="5"/>
  <c r="S43" i="5"/>
  <c r="T44" i="5"/>
  <c r="T43" i="5"/>
  <c r="O44" i="5" a="1"/>
  <c r="O44" i="5" s="1"/>
  <c r="R41" i="12"/>
  <c r="Q42" i="20"/>
  <c r="T41" i="49"/>
  <c r="T41" i="21"/>
  <c r="Q41" i="20"/>
  <c r="R42" i="21"/>
  <c r="S41" i="19"/>
  <c r="S42" i="19"/>
  <c r="Q42" i="51"/>
  <c r="O42" i="50" a="1"/>
  <c r="O42" i="50" s="1"/>
  <c r="Q41" i="18"/>
  <c r="R42" i="18"/>
  <c r="Q42" i="18"/>
  <c r="R41" i="18"/>
  <c r="S42" i="18"/>
  <c r="S41" i="18"/>
  <c r="T42" i="18"/>
  <c r="T41" i="18"/>
  <c r="Q41" i="16"/>
  <c r="R42" i="16"/>
  <c r="R41" i="16"/>
  <c r="S42" i="16"/>
  <c r="S41" i="16"/>
  <c r="T42" i="16"/>
  <c r="T41" i="16"/>
  <c r="O42" i="16" a="1"/>
  <c r="O42" i="16" s="1"/>
  <c r="Q41" i="14"/>
  <c r="S41" i="14"/>
  <c r="T41" i="14"/>
  <c r="T42" i="14"/>
  <c r="O42" i="14" a="1"/>
  <c r="O42" i="14" s="1"/>
  <c r="Q42" i="14"/>
  <c r="R42" i="14"/>
  <c r="R41" i="14"/>
  <c r="T42" i="12"/>
  <c r="S42" i="17"/>
  <c r="R41" i="17"/>
  <c r="O41" i="17" a="1"/>
  <c r="O41" i="17" s="1"/>
  <c r="O42" i="17" a="1"/>
  <c r="O42" i="17" s="1"/>
  <c r="Q42" i="17"/>
  <c r="Q41" i="17"/>
  <c r="R42" i="17"/>
  <c r="S41" i="17"/>
  <c r="Q41" i="15"/>
  <c r="R42" i="15"/>
  <c r="R41" i="15"/>
  <c r="S42" i="15"/>
  <c r="O42" i="15" a="1"/>
  <c r="O42" i="15" s="1"/>
  <c r="Q42" i="15"/>
  <c r="S41" i="15"/>
  <c r="T41" i="15"/>
  <c r="R42" i="13"/>
  <c r="T42" i="13"/>
  <c r="Q41" i="13"/>
  <c r="S41" i="13"/>
  <c r="R41" i="13"/>
  <c r="S42" i="13"/>
  <c r="T41" i="13"/>
  <c r="O42" i="13" a="1"/>
  <c r="O42" i="13" s="1"/>
  <c r="Q42" i="11"/>
  <c r="T41" i="11"/>
  <c r="T41" i="9"/>
  <c r="O41" i="9" a="1"/>
  <c r="O41" i="9" s="1"/>
  <c r="Q42" i="9"/>
  <c r="O42" i="9" a="1"/>
  <c r="O42" i="9" s="1"/>
  <c r="Q41" i="9"/>
  <c r="R42" i="9"/>
  <c r="R41" i="9"/>
  <c r="S42" i="9"/>
  <c r="O42" i="8" a="1"/>
  <c r="O42" i="8" s="1"/>
  <c r="Q42" i="8"/>
  <c r="Q41" i="8"/>
  <c r="R42" i="8"/>
  <c r="R41" i="8"/>
  <c r="S42" i="8"/>
  <c r="S41" i="8"/>
  <c r="T41" i="8"/>
  <c r="O41" i="7" a="1"/>
  <c r="O41" i="7" s="1"/>
  <c r="R41" i="7"/>
  <c r="S41" i="7"/>
  <c r="T42" i="7"/>
  <c r="T41" i="7"/>
  <c r="S42" i="7"/>
  <c r="Q42" i="7"/>
  <c r="O42" i="7" a="1"/>
  <c r="O42" i="7" s="1"/>
  <c r="T42" i="5"/>
  <c r="S42" i="5"/>
  <c r="Q42" i="5"/>
  <c r="Q41" i="5"/>
  <c r="R42" i="5"/>
  <c r="R41" i="5"/>
  <c r="O41" i="5" a="1"/>
  <c r="O41" i="5" s="1"/>
  <c r="T41" i="5"/>
  <c r="R42" i="50"/>
  <c r="T43" i="50"/>
  <c r="Q43" i="50"/>
  <c r="O45" i="50" a="1"/>
  <c r="O45" i="50" s="1"/>
  <c r="O41" i="50" a="1"/>
  <c r="O41" i="50" s="1"/>
  <c r="O47" i="50" a="1"/>
  <c r="O47" i="50" s="1"/>
  <c r="O48" i="50" a="1"/>
  <c r="O48" i="50" s="1"/>
  <c r="O42" i="49" a="1"/>
  <c r="O42" i="49" s="1"/>
  <c r="Q44" i="49"/>
  <c r="O46" i="49" a="1"/>
  <c r="O46" i="49" s="1"/>
  <c r="O48" i="49" a="1"/>
  <c r="O48" i="49" s="1"/>
  <c r="Q41" i="49"/>
  <c r="O41" i="49" a="1"/>
  <c r="O41" i="49" s="1"/>
  <c r="O48" i="1" a="1"/>
  <c r="O48" i="1" s="1"/>
  <c r="S44" i="51"/>
  <c r="Q45" i="51"/>
  <c r="T42" i="51"/>
  <c r="O45" i="51" a="1"/>
  <c r="O45" i="51" s="1"/>
  <c r="R45" i="51"/>
  <c r="O48" i="51" a="1"/>
  <c r="O48" i="51" s="1"/>
  <c r="Q46" i="51"/>
  <c r="T48" i="51"/>
  <c r="R41" i="51"/>
  <c r="T47" i="51"/>
  <c r="R44" i="48"/>
  <c r="T44" i="48"/>
  <c r="T44" i="20"/>
  <c r="T46" i="20"/>
  <c r="R43" i="19"/>
  <c r="S43" i="19"/>
  <c r="T43" i="19"/>
  <c r="Q44" i="19"/>
  <c r="O44" i="19" a="1"/>
  <c r="O44" i="19" s="1"/>
  <c r="S45" i="19"/>
  <c r="R46" i="19"/>
  <c r="S46" i="19"/>
  <c r="Q41" i="19"/>
  <c r="R41" i="19"/>
  <c r="Q43" i="12"/>
  <c r="O43" i="12" a="1"/>
  <c r="O43" i="12" s="1"/>
  <c r="Q44" i="12"/>
  <c r="Q42" i="12"/>
  <c r="R45" i="12"/>
  <c r="R46" i="12"/>
  <c r="T41" i="12"/>
  <c r="S41" i="12"/>
  <c r="S47" i="12"/>
  <c r="H27" i="51"/>
  <c r="E36" i="51"/>
  <c r="H13" i="51"/>
  <c r="E37" i="51"/>
  <c r="H16" i="51"/>
  <c r="H30" i="51"/>
  <c r="E13" i="51"/>
  <c r="H34" i="51"/>
  <c r="H23" i="51"/>
  <c r="H37" i="51"/>
  <c r="E15" i="51"/>
  <c r="H36" i="51"/>
  <c r="E11" i="51"/>
  <c r="E23" i="51"/>
  <c r="O43" i="48" a="1"/>
  <c r="O43" i="48" s="1"/>
  <c r="T45" i="48"/>
  <c r="O42" i="48" a="1"/>
  <c r="O42" i="48" s="1"/>
  <c r="Q42" i="48"/>
  <c r="Q45" i="48"/>
  <c r="T46" i="48"/>
  <c r="O41" i="48" a="1"/>
  <c r="O41" i="48" s="1"/>
  <c r="O48" i="48" a="1"/>
  <c r="O48" i="48" s="1"/>
  <c r="Q41" i="48"/>
  <c r="R48" i="48"/>
  <c r="S48" i="48"/>
  <c r="O43" i="21" a="1"/>
  <c r="O43" i="21" s="1"/>
  <c r="O44" i="21" a="1"/>
  <c r="O44" i="21" s="1"/>
  <c r="O45" i="21" a="1"/>
  <c r="O45" i="21" s="1"/>
  <c r="O42" i="21" a="1"/>
  <c r="O42" i="21" s="1"/>
  <c r="R45" i="21"/>
  <c r="O48" i="21" a="1"/>
  <c r="O48" i="21" s="1"/>
  <c r="O41" i="21" a="1"/>
  <c r="O41" i="21" s="1"/>
  <c r="O47" i="21" a="1"/>
  <c r="O47" i="21" s="1"/>
  <c r="S47" i="21"/>
  <c r="O43" i="20" a="1"/>
  <c r="O43" i="20" s="1"/>
  <c r="S43" i="20"/>
  <c r="O44" i="20" a="1"/>
  <c r="O44" i="20" s="1"/>
  <c r="O45" i="20" a="1"/>
  <c r="O45" i="20" s="1"/>
  <c r="O48" i="20" a="1"/>
  <c r="O48" i="20" s="1"/>
  <c r="O42" i="20" a="1"/>
  <c r="O42" i="20" s="1"/>
  <c r="R45" i="20"/>
  <c r="O46" i="20" a="1"/>
  <c r="O46" i="20" s="1"/>
  <c r="O41" i="20" a="1"/>
  <c r="O41" i="20" s="1"/>
  <c r="Q47" i="20"/>
  <c r="O47" i="20" a="1"/>
  <c r="O47" i="20" s="1"/>
  <c r="Q43" i="19"/>
  <c r="R44" i="19"/>
  <c r="T42" i="19"/>
  <c r="Q42" i="19"/>
  <c r="O42" i="19" a="1"/>
  <c r="O42" i="19" s="1"/>
  <c r="R42" i="19"/>
  <c r="T45" i="19"/>
  <c r="O45" i="19" a="1"/>
  <c r="O45" i="19" s="1"/>
  <c r="Q45" i="19"/>
  <c r="R45" i="19"/>
  <c r="O46" i="19" a="1"/>
  <c r="O46" i="19" s="1"/>
  <c r="Q46" i="19"/>
  <c r="T41" i="19"/>
  <c r="S48" i="19"/>
  <c r="O41" i="19" a="1"/>
  <c r="O41" i="19" s="1"/>
  <c r="T47" i="19"/>
  <c r="T48" i="19"/>
  <c r="Q48" i="19"/>
  <c r="O48" i="19" a="1"/>
  <c r="O48" i="19" s="1"/>
  <c r="Q47" i="19"/>
  <c r="R48" i="19"/>
  <c r="R47" i="19"/>
  <c r="R43" i="12"/>
  <c r="S43" i="12"/>
  <c r="O45" i="12" a="1"/>
  <c r="O45" i="12" s="1"/>
  <c r="R44" i="12"/>
  <c r="Q45" i="12"/>
  <c r="S44" i="12"/>
  <c r="T44" i="12"/>
  <c r="R42" i="12"/>
  <c r="S42" i="12"/>
  <c r="O42" i="12" a="1"/>
  <c r="O42" i="12" s="1"/>
  <c r="T45" i="12"/>
  <c r="O46" i="12" a="1"/>
  <c r="O46" i="12" s="1"/>
  <c r="Q46" i="12"/>
  <c r="S46" i="12"/>
  <c r="S48" i="12"/>
  <c r="O41" i="12" a="1"/>
  <c r="O41" i="12" s="1"/>
  <c r="Q41" i="12"/>
  <c r="O48" i="12" a="1"/>
  <c r="O48" i="12" s="1"/>
  <c r="T47" i="12"/>
  <c r="T48" i="12"/>
  <c r="Q48" i="12"/>
  <c r="Q47" i="12"/>
  <c r="R48" i="12"/>
  <c r="R47" i="12"/>
  <c r="O45" i="11" a="1"/>
  <c r="O45" i="11" s="1"/>
  <c r="O46" i="11" a="1"/>
  <c r="O46" i="11" s="1"/>
  <c r="O48" i="11" a="1"/>
  <c r="O48" i="11" s="1"/>
  <c r="O41" i="11" a="1"/>
  <c r="O41" i="11" s="1"/>
  <c r="T47" i="11"/>
  <c r="O47" i="11" a="1"/>
  <c r="O47" i="11" s="1"/>
  <c r="O41" i="51" a="1"/>
  <c r="O41" i="51" s="1"/>
  <c r="T44" i="51"/>
  <c r="R46" i="51"/>
  <c r="Q47" i="51"/>
  <c r="S41" i="48"/>
  <c r="R42" i="48"/>
  <c r="Q43" i="48"/>
  <c r="O45" i="48" a="1"/>
  <c r="O45" i="48" s="1"/>
  <c r="T48" i="48"/>
  <c r="R41" i="49"/>
  <c r="Q42" i="49"/>
  <c r="O44" i="49" a="1"/>
  <c r="O44" i="49" s="1"/>
  <c r="T47" i="49"/>
  <c r="S48" i="49"/>
  <c r="Q41" i="50"/>
  <c r="O43" i="50" a="1"/>
  <c r="O43" i="50" s="1"/>
  <c r="T46" i="50"/>
  <c r="S47" i="50"/>
  <c r="R48" i="50"/>
  <c r="E34" i="51"/>
  <c r="O42" i="51" a="1"/>
  <c r="O42" i="51" s="1"/>
  <c r="T45" i="51"/>
  <c r="S46" i="51"/>
  <c r="R47" i="51"/>
  <c r="Q48" i="51"/>
  <c r="T46" i="49"/>
  <c r="S47" i="49"/>
  <c r="R48" i="49"/>
  <c r="T45" i="50"/>
  <c r="S46" i="50"/>
  <c r="R47" i="50"/>
  <c r="Q48" i="50"/>
  <c r="H12" i="51"/>
  <c r="T41" i="48"/>
  <c r="S42" i="48"/>
  <c r="R43" i="48"/>
  <c r="Q44" i="48"/>
  <c r="O46" i="48" a="1"/>
  <c r="O46" i="48" s="1"/>
  <c r="S41" i="49"/>
  <c r="R42" i="49"/>
  <c r="O45" i="49" a="1"/>
  <c r="O45" i="49" s="1"/>
  <c r="T48" i="49"/>
  <c r="R41" i="50"/>
  <c r="Q42" i="50"/>
  <c r="O44" i="50" a="1"/>
  <c r="O44" i="50" s="1"/>
  <c r="T47" i="50"/>
  <c r="S48" i="50"/>
  <c r="E21" i="51"/>
  <c r="E29" i="51"/>
  <c r="Q41" i="51"/>
  <c r="O43" i="51" a="1"/>
  <c r="O43" i="51" s="1"/>
  <c r="S47" i="51"/>
  <c r="R48" i="51"/>
  <c r="O44" i="51" a="1"/>
  <c r="O44" i="51" s="1"/>
  <c r="S48" i="51"/>
  <c r="R41" i="48"/>
  <c r="T42" i="48"/>
  <c r="T43" i="48"/>
  <c r="R45" i="48"/>
  <c r="Q46" i="48"/>
  <c r="T42" i="49"/>
  <c r="S43" i="49"/>
  <c r="R44" i="49"/>
  <c r="Q45" i="49"/>
  <c r="T41" i="50"/>
  <c r="S42" i="50"/>
  <c r="R43" i="50"/>
  <c r="Q44" i="50"/>
  <c r="E19" i="51"/>
  <c r="H24" i="51"/>
  <c r="S41" i="51"/>
  <c r="R42" i="51"/>
  <c r="Q43" i="51"/>
  <c r="S41" i="50"/>
  <c r="E16" i="51"/>
  <c r="S45" i="48"/>
  <c r="R46" i="48"/>
  <c r="Q47" i="48"/>
  <c r="S44" i="49"/>
  <c r="R45" i="49"/>
  <c r="Q46" i="49"/>
  <c r="S43" i="50"/>
  <c r="R44" i="50"/>
  <c r="Q45" i="50"/>
  <c r="H11" i="51"/>
  <c r="H19" i="51"/>
  <c r="S42" i="51"/>
  <c r="R43" i="51"/>
  <c r="Q44" i="51"/>
  <c r="O46" i="51" a="1"/>
  <c r="O46" i="51" s="1"/>
  <c r="S43" i="48"/>
  <c r="S42" i="49"/>
  <c r="S46" i="48"/>
  <c r="R47" i="48"/>
  <c r="Q48" i="48"/>
  <c r="S45" i="49"/>
  <c r="R46" i="49"/>
  <c r="Q47" i="49"/>
  <c r="S44" i="50"/>
  <c r="R45" i="50"/>
  <c r="Q46" i="50"/>
  <c r="E25" i="51"/>
  <c r="E33" i="51"/>
  <c r="S43" i="51"/>
  <c r="R44" i="51"/>
  <c r="E12" i="51"/>
  <c r="O44" i="1" a="1"/>
  <c r="O44" i="1" s="1"/>
  <c r="O46" i="1" a="1"/>
  <c r="O46" i="1" s="1"/>
  <c r="O47" i="1" a="1"/>
  <c r="O47" i="1" s="1"/>
  <c r="O45" i="1" a="1"/>
  <c r="O45" i="1" s="1"/>
  <c r="O41" i="1" a="1"/>
  <c r="O41" i="1" s="1"/>
  <c r="O42" i="1" a="1"/>
  <c r="O42" i="1" s="1"/>
  <c r="Q43" i="21"/>
  <c r="R43" i="21"/>
  <c r="S43" i="21"/>
  <c r="Q45" i="21"/>
  <c r="T44" i="21"/>
  <c r="Q44" i="21"/>
  <c r="R44" i="21"/>
  <c r="S42" i="21"/>
  <c r="T42" i="21"/>
  <c r="Q42" i="21"/>
  <c r="S45" i="21"/>
  <c r="T45" i="21"/>
  <c r="Q46" i="21"/>
  <c r="S46" i="21"/>
  <c r="R46" i="21"/>
  <c r="T46" i="21"/>
  <c r="T48" i="21"/>
  <c r="Q41" i="21"/>
  <c r="R41" i="21"/>
  <c r="S48" i="21"/>
  <c r="S41" i="21"/>
  <c r="T47" i="21"/>
  <c r="Q48" i="21"/>
  <c r="Q47" i="21"/>
  <c r="R48" i="21"/>
  <c r="T43" i="20"/>
  <c r="Q43" i="20"/>
  <c r="R44" i="20"/>
  <c r="T45" i="20"/>
  <c r="S44" i="20"/>
  <c r="Q45" i="20"/>
  <c r="R42" i="20"/>
  <c r="S42" i="20"/>
  <c r="T42" i="20"/>
  <c r="Q48" i="20"/>
  <c r="S45" i="20"/>
  <c r="Q46" i="20"/>
  <c r="R46" i="20"/>
  <c r="R41" i="20"/>
  <c r="S41" i="20"/>
  <c r="T41" i="20"/>
  <c r="R47" i="20"/>
  <c r="S48" i="20"/>
  <c r="R48" i="20"/>
  <c r="S47" i="20"/>
  <c r="T48" i="20"/>
  <c r="R44" i="11"/>
  <c r="Q44" i="11"/>
  <c r="S46" i="11"/>
  <c r="Q41" i="11"/>
  <c r="Q47" i="11"/>
  <c r="S43" i="10"/>
  <c r="T43" i="10"/>
  <c r="Q44" i="10"/>
  <c r="T46" i="10"/>
  <c r="E18" i="13"/>
  <c r="T43" i="11"/>
  <c r="Q43" i="11"/>
  <c r="R43" i="11"/>
  <c r="S43" i="11"/>
  <c r="S44" i="11"/>
  <c r="T44" i="11"/>
  <c r="R42" i="11"/>
  <c r="S42" i="11"/>
  <c r="T42" i="11"/>
  <c r="Q45" i="11"/>
  <c r="R45" i="11"/>
  <c r="S45" i="11"/>
  <c r="T45" i="11"/>
  <c r="T46" i="11"/>
  <c r="Q46" i="11"/>
  <c r="R41" i="11"/>
  <c r="T48" i="11"/>
  <c r="S41" i="11"/>
  <c r="Q48" i="11"/>
  <c r="R48" i="11"/>
  <c r="R47" i="11"/>
  <c r="S48" i="11"/>
  <c r="Q43" i="10"/>
  <c r="R43" i="10"/>
  <c r="R44" i="10"/>
  <c r="S44" i="10"/>
  <c r="T44" i="10"/>
  <c r="Q42" i="10"/>
  <c r="R42" i="10"/>
  <c r="S42" i="10"/>
  <c r="T42" i="10"/>
  <c r="Q45" i="10"/>
  <c r="R45" i="10"/>
  <c r="T48" i="10"/>
  <c r="S45" i="10"/>
  <c r="T45" i="10"/>
  <c r="S48" i="10"/>
  <c r="Q46" i="10"/>
  <c r="R46" i="10"/>
  <c r="Q41" i="10"/>
  <c r="R41" i="10"/>
  <c r="S41" i="10"/>
  <c r="T41" i="10"/>
  <c r="Q48" i="10"/>
  <c r="Q47" i="10"/>
  <c r="R48" i="10"/>
  <c r="S47" i="10"/>
  <c r="R47" i="10"/>
  <c r="T47" i="10"/>
  <c r="H22" i="1"/>
  <c r="E18" i="1"/>
  <c r="H26" i="1"/>
  <c r="E35" i="1"/>
  <c r="E31" i="1"/>
  <c r="H14" i="1"/>
  <c r="T45" i="1"/>
  <c r="R44" i="1"/>
  <c r="T42" i="1"/>
  <c r="T41" i="1"/>
  <c r="Q44" i="1"/>
  <c r="S45" i="1"/>
  <c r="S42" i="1"/>
  <c r="T46" i="1"/>
  <c r="Q47" i="1"/>
  <c r="Q42" i="1"/>
  <c r="Q45" i="1"/>
  <c r="S46" i="1"/>
  <c r="Q48" i="1"/>
  <c r="R41" i="1"/>
  <c r="S44" i="1"/>
  <c r="Q43" i="1"/>
  <c r="S41" i="1"/>
  <c r="T44" i="1"/>
  <c r="R47" i="1"/>
  <c r="Q46" i="1"/>
  <c r="S47" i="1"/>
  <c r="Q41" i="1"/>
  <c r="R42" i="1"/>
  <c r="R45" i="1"/>
  <c r="T47" i="1"/>
  <c r="R46" i="1"/>
  <c r="T43" i="1"/>
  <c r="R43" i="1"/>
  <c r="S43" i="1"/>
  <c r="R48" i="1"/>
  <c r="S48" i="1"/>
  <c r="T48" i="1"/>
  <c r="H14" i="13"/>
  <c r="H22" i="13"/>
  <c r="H26" i="13"/>
  <c r="E31" i="13"/>
  <c r="E35" i="13"/>
  <c r="X48" i="48" l="1"/>
  <c r="X47" i="57"/>
  <c r="X48" i="49"/>
  <c r="X48" i="21"/>
  <c r="X48" i="19"/>
  <c r="X48" i="50"/>
  <c r="X48" i="51"/>
  <c r="X47" i="56"/>
  <c r="X48" i="20"/>
  <c r="X46" i="51"/>
  <c r="X43" i="51"/>
  <c r="X45" i="51"/>
  <c r="X44" i="51"/>
  <c r="X42" i="51"/>
  <c r="X41" i="51"/>
  <c r="X44" i="50"/>
  <c r="X45" i="50"/>
  <c r="X46" i="50"/>
  <c r="X43" i="50"/>
  <c r="X47" i="50"/>
  <c r="X42" i="50"/>
  <c r="X41" i="50"/>
  <c r="X48" i="5"/>
  <c r="X48" i="18"/>
  <c r="X48" i="10"/>
  <c r="X47" i="49"/>
  <c r="X47" i="48"/>
  <c r="X47" i="21"/>
  <c r="X47" i="20"/>
  <c r="X47" i="18"/>
  <c r="X47" i="19"/>
  <c r="X47" i="10"/>
  <c r="X47" i="5"/>
  <c r="X46" i="48"/>
  <c r="X46" i="18"/>
  <c r="X47" i="11"/>
  <c r="X46" i="49"/>
  <c r="X45" i="21"/>
  <c r="X44" i="21"/>
  <c r="X46" i="20"/>
  <c r="X46" i="19"/>
  <c r="X47" i="17"/>
  <c r="X47" i="16"/>
  <c r="X46" i="16"/>
  <c r="X47" i="15"/>
  <c r="X48" i="15"/>
  <c r="X45" i="15"/>
  <c r="X47" i="14"/>
  <c r="X48" i="13"/>
  <c r="X48" i="12"/>
  <c r="X48" i="11"/>
  <c r="X45" i="10"/>
  <c r="X45" i="9"/>
  <c r="X47" i="9"/>
  <c r="X48" i="9"/>
  <c r="X47" i="8"/>
  <c r="X47" i="7"/>
  <c r="X46" i="5"/>
  <c r="X48" i="1"/>
  <c r="X48" i="17"/>
  <c r="X45" i="17"/>
  <c r="X42" i="17"/>
  <c r="X48" i="16"/>
  <c r="X48" i="14"/>
  <c r="X46" i="14"/>
  <c r="X43" i="14"/>
  <c r="X45" i="14"/>
  <c r="X47" i="13"/>
  <c r="X45" i="13"/>
  <c r="X46" i="13"/>
  <c r="X47" i="12"/>
  <c r="X46" i="12"/>
  <c r="X45" i="11"/>
  <c r="X46" i="9"/>
  <c r="X43" i="9"/>
  <c r="X42" i="8"/>
  <c r="X48" i="8"/>
  <c r="X45" i="8"/>
  <c r="X46" i="7"/>
  <c r="X48" i="7"/>
  <c r="X45" i="7"/>
  <c r="X44" i="7"/>
  <c r="X47" i="1"/>
  <c r="X44" i="1"/>
  <c r="X45" i="1"/>
  <c r="X45" i="49"/>
  <c r="X44" i="49"/>
  <c r="X45" i="48"/>
  <c r="X42" i="48"/>
  <c r="X43" i="48"/>
  <c r="X46" i="21"/>
  <c r="X45" i="20"/>
  <c r="X43" i="20"/>
  <c r="X45" i="19"/>
  <c r="X44" i="19"/>
  <c r="X45" i="18"/>
  <c r="X44" i="18"/>
  <c r="X46" i="17"/>
  <c r="X43" i="17"/>
  <c r="X44" i="17"/>
  <c r="X41" i="17"/>
  <c r="X45" i="16"/>
  <c r="X44" i="16"/>
  <c r="X46" i="15"/>
  <c r="X44" i="15"/>
  <c r="X44" i="13"/>
  <c r="X45" i="12"/>
  <c r="X43" i="12"/>
  <c r="X46" i="11"/>
  <c r="X44" i="11"/>
  <c r="X46" i="10"/>
  <c r="X41" i="10"/>
  <c r="X44" i="10"/>
  <c r="X42" i="10"/>
  <c r="X46" i="8"/>
  <c r="X44" i="8"/>
  <c r="X43" i="8"/>
  <c r="X45" i="5"/>
  <c r="X44" i="5"/>
  <c r="X46" i="1"/>
  <c r="X43" i="49"/>
  <c r="X41" i="49"/>
  <c r="X44" i="48"/>
  <c r="X43" i="21"/>
  <c r="X41" i="21"/>
  <c r="X44" i="20"/>
  <c r="X41" i="20"/>
  <c r="X42" i="20"/>
  <c r="X43" i="19"/>
  <c r="X41" i="19"/>
  <c r="X42" i="19"/>
  <c r="X43" i="18"/>
  <c r="X42" i="18"/>
  <c r="X43" i="16"/>
  <c r="X42" i="16"/>
  <c r="X41" i="16"/>
  <c r="X43" i="15"/>
  <c r="X42" i="15"/>
  <c r="X44" i="14"/>
  <c r="X42" i="14"/>
  <c r="X42" i="13"/>
  <c r="X43" i="13"/>
  <c r="X41" i="13"/>
  <c r="X44" i="12"/>
  <c r="X42" i="12"/>
  <c r="X43" i="11"/>
  <c r="X41" i="11"/>
  <c r="X43" i="10"/>
  <c r="X44" i="9"/>
  <c r="X42" i="9"/>
  <c r="X43" i="7"/>
  <c r="X41" i="7"/>
  <c r="X43" i="5"/>
  <c r="X42" i="5"/>
  <c r="X43" i="1"/>
  <c r="X42" i="1"/>
  <c r="X41" i="1"/>
  <c r="X42" i="49"/>
  <c r="X41" i="48"/>
  <c r="X42" i="21"/>
  <c r="X41" i="18"/>
  <c r="X41" i="15"/>
  <c r="X41" i="14"/>
  <c r="X41" i="12"/>
  <c r="X42" i="11"/>
  <c r="X41" i="9"/>
  <c r="X41" i="8"/>
  <c r="X42" i="7"/>
  <c r="X41" i="5"/>
  <c r="X47" i="54"/>
  <c r="X47" i="51"/>
  <c r="X47" i="55"/>
  <c r="X46" i="56"/>
  <c r="X45" i="56"/>
  <c r="X44" i="56"/>
  <c r="X42" i="56"/>
  <c r="X43" i="56"/>
  <c r="X41" i="56"/>
  <c r="X48" i="56"/>
  <c r="X47" i="58"/>
  <c r="X48" i="54"/>
  <c r="X46" i="54"/>
  <c r="X45" i="54"/>
  <c r="X44" i="54"/>
  <c r="X43" i="54"/>
  <c r="X42" i="54"/>
  <c r="X41" i="54"/>
  <c r="X44" i="57"/>
  <c r="X43" i="57"/>
  <c r="X45" i="57"/>
  <c r="X42" i="57"/>
  <c r="X41" i="57"/>
  <c r="X48" i="57"/>
  <c r="X46" i="57"/>
  <c r="X48" i="55"/>
  <c r="X46" i="55"/>
  <c r="X45" i="55"/>
  <c r="X44" i="55"/>
  <c r="X43" i="55"/>
  <c r="X42" i="55"/>
  <c r="X41" i="55"/>
  <c r="X43" i="58"/>
  <c r="X42" i="58"/>
  <c r="X41" i="58"/>
  <c r="X48" i="58"/>
  <c r="X46" i="58"/>
  <c r="X45" i="58"/>
  <c r="X44" i="58"/>
  <c r="A8" i="1"/>
  <c r="E8" i="1"/>
  <c r="K8" i="1"/>
  <c r="A41" i="1"/>
  <c r="A42" i="1"/>
  <c r="A43" i="1"/>
  <c r="A44" i="1"/>
  <c r="A45" i="1"/>
  <c r="A46" i="1"/>
  <c r="A8" i="5"/>
  <c r="E8" i="5"/>
  <c r="K8" i="5"/>
  <c r="M11" i="5"/>
  <c r="M12" i="5"/>
  <c r="M13" i="5"/>
  <c r="M19" i="5"/>
  <c r="M29" i="5"/>
  <c r="M30" i="5"/>
  <c r="M36" i="5"/>
  <c r="A41" i="5"/>
  <c r="H19" i="5"/>
  <c r="A44" i="5"/>
  <c r="A45" i="5"/>
  <c r="A46" i="5"/>
  <c r="A8" i="7"/>
  <c r="E8" i="7"/>
  <c r="K8" i="7"/>
  <c r="M11" i="7"/>
  <c r="M12" i="7"/>
  <c r="M13" i="7"/>
  <c r="M15" i="7"/>
  <c r="M16" i="7"/>
  <c r="M19" i="7"/>
  <c r="M29" i="7"/>
  <c r="M30" i="7"/>
  <c r="M32" i="7"/>
  <c r="M33" i="7"/>
  <c r="M34" i="7"/>
  <c r="M36" i="7"/>
  <c r="M37" i="7"/>
  <c r="M38" i="7"/>
  <c r="A41" i="7"/>
  <c r="A42" i="7"/>
  <c r="A44" i="7"/>
  <c r="A45" i="7"/>
  <c r="A46" i="7"/>
  <c r="A8" i="8"/>
  <c r="E8" i="8"/>
  <c r="K8" i="8"/>
  <c r="M11" i="8"/>
  <c r="M12" i="8"/>
  <c r="M13" i="8"/>
  <c r="M15" i="8"/>
  <c r="M16" i="8"/>
  <c r="M19" i="8"/>
  <c r="M29" i="8"/>
  <c r="M30" i="8"/>
  <c r="M32" i="8"/>
  <c r="M33" i="8"/>
  <c r="M34" i="8"/>
  <c r="M36" i="8"/>
  <c r="M37" i="8"/>
  <c r="M38" i="8"/>
  <c r="A41" i="8"/>
  <c r="A43" i="8"/>
  <c r="A44" i="8"/>
  <c r="A45" i="8"/>
  <c r="A46" i="8"/>
  <c r="A8" i="9"/>
  <c r="E8" i="9"/>
  <c r="K8" i="9"/>
  <c r="M11" i="9"/>
  <c r="M12" i="9"/>
  <c r="M13" i="9"/>
  <c r="M15" i="9"/>
  <c r="M16" i="9"/>
  <c r="M19" i="9"/>
  <c r="M29" i="9"/>
  <c r="M30" i="9"/>
  <c r="M32" i="9"/>
  <c r="M33" i="9"/>
  <c r="M34" i="9"/>
  <c r="M36" i="9"/>
  <c r="M37" i="9"/>
  <c r="M38" i="9"/>
  <c r="A41" i="9"/>
  <c r="A42" i="9"/>
  <c r="A44" i="9"/>
  <c r="A45" i="9"/>
  <c r="A46" i="9"/>
  <c r="A8" i="10"/>
  <c r="E8" i="10"/>
  <c r="K8" i="10"/>
  <c r="M11" i="10"/>
  <c r="M12" i="10"/>
  <c r="M13" i="10"/>
  <c r="M15" i="10"/>
  <c r="M16" i="10"/>
  <c r="M19" i="10"/>
  <c r="M29" i="10"/>
  <c r="M30" i="10"/>
  <c r="M32" i="10"/>
  <c r="M33" i="10"/>
  <c r="M34" i="10"/>
  <c r="M36" i="10"/>
  <c r="M37" i="10"/>
  <c r="M38" i="10"/>
  <c r="A41" i="10"/>
  <c r="A42" i="10"/>
  <c r="A43" i="10"/>
  <c r="A44" i="10"/>
  <c r="A45" i="10"/>
  <c r="A46" i="10"/>
  <c r="A8" i="11"/>
  <c r="E8" i="11"/>
  <c r="K8" i="11"/>
  <c r="M11" i="11"/>
  <c r="M12" i="11"/>
  <c r="M13" i="11"/>
  <c r="M15" i="11"/>
  <c r="M16" i="11"/>
  <c r="M19" i="11"/>
  <c r="M29" i="11"/>
  <c r="M30" i="11"/>
  <c r="M32" i="11"/>
  <c r="M33" i="11"/>
  <c r="M34" i="11"/>
  <c r="M36" i="11"/>
  <c r="M37" i="11"/>
  <c r="M38" i="11"/>
  <c r="A41" i="11"/>
  <c r="A42" i="11"/>
  <c r="A43" i="11"/>
  <c r="A44" i="11"/>
  <c r="A45" i="11"/>
  <c r="A46" i="11"/>
  <c r="H21" i="11"/>
  <c r="A8" i="12"/>
  <c r="E8" i="12"/>
  <c r="K8" i="12"/>
  <c r="M11" i="12"/>
  <c r="M12" i="12"/>
  <c r="M13" i="12"/>
  <c r="M15" i="12"/>
  <c r="M16" i="12"/>
  <c r="M19" i="12"/>
  <c r="M29" i="12"/>
  <c r="M30" i="12"/>
  <c r="M32" i="12"/>
  <c r="M33" i="12"/>
  <c r="M34" i="12"/>
  <c r="M36" i="12"/>
  <c r="M37" i="12"/>
  <c r="M38" i="12"/>
  <c r="A42" i="12"/>
  <c r="A45" i="12"/>
  <c r="A46" i="12"/>
  <c r="A8" i="13"/>
  <c r="E8" i="13"/>
  <c r="K8" i="13"/>
  <c r="M11" i="13"/>
  <c r="M12" i="13"/>
  <c r="M13" i="13"/>
  <c r="M15" i="13"/>
  <c r="M16" i="13"/>
  <c r="M17" i="13"/>
  <c r="M19" i="13"/>
  <c r="M20" i="13"/>
  <c r="M21" i="13"/>
  <c r="M23" i="13"/>
  <c r="M24" i="13"/>
  <c r="M25" i="13"/>
  <c r="M29" i="13"/>
  <c r="M30" i="13"/>
  <c r="M32" i="13"/>
  <c r="M33" i="13"/>
  <c r="M34" i="13"/>
  <c r="M36" i="13"/>
  <c r="M37" i="13"/>
  <c r="M38" i="13"/>
  <c r="A45" i="13"/>
  <c r="A46" i="13"/>
  <c r="A8" i="14"/>
  <c r="E8" i="14"/>
  <c r="K8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A41" i="14"/>
  <c r="H29" i="14" s="1"/>
  <c r="A42" i="14"/>
  <c r="E33" i="14" s="1"/>
  <c r="A43" i="14"/>
  <c r="H35" i="14" s="1"/>
  <c r="A44" i="14"/>
  <c r="E19" i="14" s="1"/>
  <c r="A45" i="14"/>
  <c r="E26" i="14" s="1"/>
  <c r="A46" i="14"/>
  <c r="E17" i="14" s="1"/>
  <c r="E14" i="14"/>
  <c r="A8" i="15"/>
  <c r="E8" i="15"/>
  <c r="K8" i="15"/>
  <c r="M11" i="15"/>
  <c r="M12" i="15"/>
  <c r="M13" i="15"/>
  <c r="M15" i="15"/>
  <c r="M16" i="15"/>
  <c r="M19" i="15"/>
  <c r="M29" i="15"/>
  <c r="M30" i="15"/>
  <c r="M32" i="15"/>
  <c r="M33" i="15"/>
  <c r="M34" i="15"/>
  <c r="M36" i="15"/>
  <c r="M37" i="15"/>
  <c r="M38" i="15"/>
  <c r="A41" i="15"/>
  <c r="A42" i="15"/>
  <c r="E28" i="15" s="1"/>
  <c r="E20" i="15"/>
  <c r="A44" i="15"/>
  <c r="A45" i="15"/>
  <c r="E26" i="15" s="1"/>
  <c r="A46" i="15"/>
  <c r="A8" i="16"/>
  <c r="E8" i="16"/>
  <c r="K8" i="16"/>
  <c r="M11" i="16"/>
  <c r="M12" i="16"/>
  <c r="M13" i="16"/>
  <c r="M15" i="16"/>
  <c r="M16" i="16"/>
  <c r="M19" i="16"/>
  <c r="M29" i="16"/>
  <c r="M30" i="16"/>
  <c r="M32" i="16"/>
  <c r="M33" i="16"/>
  <c r="M34" i="16"/>
  <c r="M36" i="16"/>
  <c r="M37" i="16"/>
  <c r="M38" i="16"/>
  <c r="A41" i="16"/>
  <c r="A42" i="16"/>
  <c r="A43" i="16"/>
  <c r="A44" i="16"/>
  <c r="A45" i="16"/>
  <c r="A46" i="16"/>
  <c r="E30" i="16"/>
  <c r="A8" i="17"/>
  <c r="E8" i="17"/>
  <c r="K8" i="17"/>
  <c r="M11" i="17"/>
  <c r="M12" i="17"/>
  <c r="M13" i="17"/>
  <c r="M15" i="17"/>
  <c r="M16" i="17"/>
  <c r="M19" i="17"/>
  <c r="M29" i="17"/>
  <c r="M30" i="17"/>
  <c r="M32" i="17"/>
  <c r="M33" i="17"/>
  <c r="M34" i="17"/>
  <c r="M36" i="17"/>
  <c r="M37" i="17"/>
  <c r="M38" i="17"/>
  <c r="A41" i="17"/>
  <c r="H18" i="17" s="1"/>
  <c r="A42" i="17"/>
  <c r="E28" i="17" s="1"/>
  <c r="A43" i="17"/>
  <c r="H35" i="17" s="1"/>
  <c r="A45" i="17"/>
  <c r="E26" i="17" s="1"/>
  <c r="A46" i="17"/>
  <c r="E22" i="17" s="1"/>
  <c r="A8" i="18"/>
  <c r="E8" i="18"/>
  <c r="K8" i="18"/>
  <c r="M11" i="18"/>
  <c r="M12" i="18"/>
  <c r="M13" i="18"/>
  <c r="M15" i="18"/>
  <c r="M16" i="18"/>
  <c r="M19" i="18"/>
  <c r="M29" i="18"/>
  <c r="M30" i="18"/>
  <c r="M32" i="18"/>
  <c r="M33" i="18"/>
  <c r="M34" i="18"/>
  <c r="M36" i="18"/>
  <c r="M37" i="18"/>
  <c r="M38" i="18"/>
  <c r="A41" i="18"/>
  <c r="H11" i="18"/>
  <c r="A43" i="18"/>
  <c r="A44" i="18"/>
  <c r="A45" i="18"/>
  <c r="A46" i="18"/>
  <c r="H21" i="18"/>
  <c r="A8" i="19"/>
  <c r="E8" i="19"/>
  <c r="K8" i="19"/>
  <c r="M11" i="19"/>
  <c r="M12" i="19"/>
  <c r="M13" i="19"/>
  <c r="M15" i="19"/>
  <c r="M16" i="19"/>
  <c r="M19" i="19"/>
  <c r="M29" i="19"/>
  <c r="M30" i="19"/>
  <c r="M32" i="19"/>
  <c r="M33" i="19"/>
  <c r="M34" i="19"/>
  <c r="M36" i="19"/>
  <c r="M37" i="19"/>
  <c r="M38" i="19"/>
  <c r="A41" i="19"/>
  <c r="A42" i="19"/>
  <c r="A43" i="19"/>
  <c r="A44" i="19"/>
  <c r="A45" i="19"/>
  <c r="A46" i="19"/>
  <c r="A8" i="20"/>
  <c r="E8" i="20"/>
  <c r="K8" i="20"/>
  <c r="M11" i="20"/>
  <c r="M12" i="20"/>
  <c r="M13" i="20"/>
  <c r="M15" i="20"/>
  <c r="M16" i="20"/>
  <c r="M19" i="20"/>
  <c r="M29" i="20"/>
  <c r="M30" i="20"/>
  <c r="M32" i="20"/>
  <c r="M33" i="20"/>
  <c r="M34" i="20"/>
  <c r="M36" i="20"/>
  <c r="M37" i="20"/>
  <c r="M38" i="20"/>
  <c r="A41" i="20"/>
  <c r="A42" i="20"/>
  <c r="A43" i="20"/>
  <c r="A45" i="20"/>
  <c r="A46" i="20"/>
  <c r="A8" i="21"/>
  <c r="M11" i="21"/>
  <c r="M12" i="21"/>
  <c r="M13" i="21"/>
  <c r="M15" i="21"/>
  <c r="M16" i="21"/>
  <c r="M19" i="21"/>
  <c r="M29" i="21"/>
  <c r="M30" i="21"/>
  <c r="M32" i="21"/>
  <c r="M33" i="21"/>
  <c r="M34" i="21"/>
  <c r="M36" i="21"/>
  <c r="M37" i="21"/>
  <c r="M38" i="21"/>
  <c r="A41" i="21"/>
  <c r="A42" i="21"/>
  <c r="A43" i="21"/>
  <c r="A44" i="21"/>
  <c r="A45" i="21"/>
  <c r="H25" i="15"/>
  <c r="H28" i="14"/>
  <c r="H25" i="11"/>
  <c r="H29" i="15" l="1"/>
  <c r="H18" i="15"/>
  <c r="E23" i="16"/>
  <c r="H18" i="16"/>
  <c r="E29" i="16"/>
  <c r="H31" i="16"/>
  <c r="E33" i="16"/>
  <c r="E28" i="16"/>
  <c r="E12" i="16"/>
  <c r="H35" i="16"/>
  <c r="E17" i="15"/>
  <c r="E22" i="15"/>
  <c r="E17" i="16"/>
  <c r="E22" i="16"/>
  <c r="E37" i="16"/>
  <c r="E26" i="16"/>
  <c r="H24" i="15"/>
  <c r="H31" i="15"/>
  <c r="H20" i="18"/>
  <c r="E16" i="18"/>
  <c r="E12" i="18"/>
  <c r="E23" i="18"/>
  <c r="E20" i="11"/>
  <c r="E25" i="11"/>
  <c r="H36" i="11"/>
  <c r="E17" i="11"/>
  <c r="E37" i="11"/>
  <c r="H12" i="11"/>
  <c r="E23" i="12"/>
  <c r="E17" i="12"/>
  <c r="H20" i="12"/>
  <c r="E19" i="12"/>
  <c r="E17" i="5"/>
  <c r="E12" i="12"/>
  <c r="H16" i="5"/>
  <c r="H11" i="12"/>
  <c r="H24" i="5"/>
  <c r="H36" i="5"/>
  <c r="H32" i="1"/>
  <c r="H21" i="1"/>
  <c r="E14" i="1"/>
  <c r="H17" i="1"/>
  <c r="H25" i="1"/>
  <c r="E30" i="1"/>
  <c r="E38" i="1"/>
  <c r="E32" i="17"/>
  <c r="E20" i="17"/>
  <c r="H23" i="17"/>
  <c r="E12" i="17"/>
  <c r="E27" i="17"/>
  <c r="H15" i="17"/>
  <c r="H29" i="7"/>
  <c r="E34" i="7"/>
  <c r="E23" i="7"/>
  <c r="E21" i="7"/>
  <c r="E11" i="7"/>
  <c r="H36" i="7"/>
  <c r="E32" i="21"/>
  <c r="E20" i="21"/>
  <c r="E12" i="21"/>
  <c r="H23" i="21"/>
  <c r="H15" i="21"/>
  <c r="E27" i="21"/>
  <c r="E34" i="20"/>
  <c r="H29" i="20"/>
  <c r="E21" i="20"/>
  <c r="H36" i="20"/>
  <c r="E23" i="20"/>
  <c r="E11" i="20"/>
  <c r="E37" i="17"/>
  <c r="H30" i="17"/>
  <c r="E13" i="17"/>
  <c r="H34" i="17"/>
  <c r="H16" i="17"/>
  <c r="H20" i="17"/>
  <c r="E36" i="10"/>
  <c r="H27" i="10"/>
  <c r="H13" i="10"/>
  <c r="H33" i="10"/>
  <c r="E24" i="10"/>
  <c r="E17" i="10"/>
  <c r="E13" i="9"/>
  <c r="E37" i="9"/>
  <c r="H30" i="9"/>
  <c r="H16" i="9"/>
  <c r="H34" i="9"/>
  <c r="H20" i="9"/>
  <c r="E29" i="8"/>
  <c r="H38" i="8"/>
  <c r="H24" i="8"/>
  <c r="E19" i="8"/>
  <c r="H12" i="8"/>
  <c r="E16" i="8"/>
  <c r="H11" i="7"/>
  <c r="E33" i="7"/>
  <c r="H37" i="7"/>
  <c r="E25" i="7"/>
  <c r="E15" i="7"/>
  <c r="H19" i="7"/>
  <c r="E34" i="21"/>
  <c r="H29" i="21"/>
  <c r="E21" i="21"/>
  <c r="H36" i="21"/>
  <c r="E23" i="21"/>
  <c r="E11" i="21"/>
  <c r="H33" i="19"/>
  <c r="H13" i="19"/>
  <c r="E17" i="19"/>
  <c r="E36" i="19"/>
  <c r="E24" i="19"/>
  <c r="H27" i="19"/>
  <c r="E25" i="17"/>
  <c r="E15" i="17"/>
  <c r="H19" i="17"/>
  <c r="H11" i="17"/>
  <c r="E33" i="17"/>
  <c r="H37" i="17"/>
  <c r="E16" i="10"/>
  <c r="E29" i="10"/>
  <c r="H38" i="10"/>
  <c r="H24" i="10"/>
  <c r="E19" i="10"/>
  <c r="H12" i="10"/>
  <c r="E32" i="9"/>
  <c r="E12" i="9"/>
  <c r="H23" i="9"/>
  <c r="H15" i="9"/>
  <c r="E27" i="9"/>
  <c r="E20" i="9"/>
  <c r="E15" i="8"/>
  <c r="E33" i="8"/>
  <c r="E25" i="8"/>
  <c r="H19" i="8"/>
  <c r="H37" i="8"/>
  <c r="H11" i="8"/>
  <c r="H37" i="21"/>
  <c r="E33" i="21"/>
  <c r="E25" i="21"/>
  <c r="H19" i="21"/>
  <c r="H11" i="21"/>
  <c r="E15" i="21"/>
  <c r="E37" i="19"/>
  <c r="E13" i="19"/>
  <c r="H20" i="19"/>
  <c r="H16" i="19"/>
  <c r="H34" i="19"/>
  <c r="H30" i="19"/>
  <c r="H36" i="17"/>
  <c r="H29" i="17"/>
  <c r="E34" i="17"/>
  <c r="E23" i="17"/>
  <c r="E21" i="17"/>
  <c r="E11" i="17"/>
  <c r="H23" i="10"/>
  <c r="H15" i="10"/>
  <c r="E27" i="10"/>
  <c r="E20" i="10"/>
  <c r="E32" i="10"/>
  <c r="E12" i="10"/>
  <c r="E25" i="9"/>
  <c r="H19" i="9"/>
  <c r="E33" i="9"/>
  <c r="H37" i="9"/>
  <c r="H11" i="9"/>
  <c r="E15" i="9"/>
  <c r="E21" i="8"/>
  <c r="E34" i="8"/>
  <c r="H36" i="8"/>
  <c r="H29" i="8"/>
  <c r="E23" i="8"/>
  <c r="E11" i="8"/>
  <c r="E37" i="10"/>
  <c r="H30" i="10"/>
  <c r="H16" i="10"/>
  <c r="H34" i="10"/>
  <c r="H20" i="10"/>
  <c r="E13" i="10"/>
  <c r="H33" i="20"/>
  <c r="H13" i="20"/>
  <c r="E17" i="20"/>
  <c r="E36" i="20"/>
  <c r="E24" i="20"/>
  <c r="H27" i="20"/>
  <c r="E29" i="19"/>
  <c r="H24" i="19"/>
  <c r="H12" i="19"/>
  <c r="E16" i="19"/>
  <c r="E19" i="19"/>
  <c r="H38" i="19"/>
  <c r="H11" i="10"/>
  <c r="E15" i="10"/>
  <c r="E25" i="10"/>
  <c r="H19" i="10"/>
  <c r="E33" i="10"/>
  <c r="H37" i="10"/>
  <c r="H36" i="9"/>
  <c r="H29" i="9"/>
  <c r="E23" i="9"/>
  <c r="E11" i="9"/>
  <c r="E21" i="9"/>
  <c r="E34" i="9"/>
  <c r="H38" i="9"/>
  <c r="H24" i="9"/>
  <c r="E19" i="9"/>
  <c r="H12" i="9"/>
  <c r="E16" i="9"/>
  <c r="E29" i="9"/>
  <c r="E37" i="20"/>
  <c r="E13" i="20"/>
  <c r="H20" i="20"/>
  <c r="H16" i="20"/>
  <c r="H34" i="20"/>
  <c r="H30" i="20"/>
  <c r="E32" i="19"/>
  <c r="E20" i="19"/>
  <c r="E12" i="19"/>
  <c r="H23" i="19"/>
  <c r="H15" i="19"/>
  <c r="E27" i="19"/>
  <c r="H36" i="10"/>
  <c r="H29" i="10"/>
  <c r="E23" i="10"/>
  <c r="E11" i="10"/>
  <c r="E21" i="10"/>
  <c r="E34" i="10"/>
  <c r="E17" i="7"/>
  <c r="H33" i="7"/>
  <c r="H27" i="7"/>
  <c r="H13" i="7"/>
  <c r="E36" i="7"/>
  <c r="E24" i="7"/>
  <c r="E37" i="21"/>
  <c r="E13" i="21"/>
  <c r="H20" i="21"/>
  <c r="H16" i="21"/>
  <c r="H34" i="21"/>
  <c r="H30" i="21"/>
  <c r="E32" i="20"/>
  <c r="E20" i="20"/>
  <c r="E12" i="20"/>
  <c r="H23" i="20"/>
  <c r="H15" i="20"/>
  <c r="E27" i="20"/>
  <c r="H37" i="19"/>
  <c r="E33" i="19"/>
  <c r="E25" i="19"/>
  <c r="H19" i="19"/>
  <c r="H11" i="19"/>
  <c r="E15" i="19"/>
  <c r="H27" i="8"/>
  <c r="H33" i="8"/>
  <c r="H13" i="8"/>
  <c r="E24" i="8"/>
  <c r="E17" i="8"/>
  <c r="E36" i="8"/>
  <c r="H34" i="7"/>
  <c r="H16" i="7"/>
  <c r="H20" i="7"/>
  <c r="E37" i="7"/>
  <c r="H30" i="7"/>
  <c r="E13" i="7"/>
  <c r="H15" i="8"/>
  <c r="E27" i="8"/>
  <c r="E20" i="8"/>
  <c r="E32" i="8"/>
  <c r="E12" i="8"/>
  <c r="H23" i="8"/>
  <c r="E29" i="21"/>
  <c r="H24" i="21"/>
  <c r="H12" i="21"/>
  <c r="E16" i="21"/>
  <c r="E19" i="21"/>
  <c r="H38" i="21"/>
  <c r="H37" i="20"/>
  <c r="E33" i="20"/>
  <c r="E25" i="20"/>
  <c r="H19" i="20"/>
  <c r="H11" i="20"/>
  <c r="E15" i="20"/>
  <c r="E34" i="19"/>
  <c r="H29" i="19"/>
  <c r="E21" i="19"/>
  <c r="H36" i="19"/>
  <c r="E23" i="19"/>
  <c r="E11" i="19"/>
  <c r="H13" i="17"/>
  <c r="E36" i="17"/>
  <c r="E24" i="17"/>
  <c r="E17" i="17"/>
  <c r="H33" i="17"/>
  <c r="H27" i="17"/>
  <c r="H33" i="9"/>
  <c r="E24" i="9"/>
  <c r="E17" i="9"/>
  <c r="E36" i="9"/>
  <c r="H27" i="9"/>
  <c r="H13" i="9"/>
  <c r="H34" i="8"/>
  <c r="H20" i="8"/>
  <c r="E13" i="8"/>
  <c r="E37" i="8"/>
  <c r="H30" i="8"/>
  <c r="H16" i="8"/>
  <c r="H12" i="7"/>
  <c r="E29" i="7"/>
  <c r="H38" i="7"/>
  <c r="E16" i="7"/>
  <c r="H24" i="7"/>
  <c r="E19" i="7"/>
  <c r="E21" i="12"/>
  <c r="H20" i="5"/>
  <c r="H13" i="5"/>
  <c r="E21" i="5"/>
  <c r="E23" i="5"/>
  <c r="H13" i="16"/>
  <c r="E23" i="15"/>
  <c r="H36" i="15"/>
  <c r="E15" i="5"/>
  <c r="H30" i="11"/>
  <c r="H11" i="16"/>
  <c r="E15" i="16"/>
  <c r="E22" i="1"/>
  <c r="H27" i="1"/>
  <c r="H33" i="1"/>
  <c r="H13" i="1"/>
  <c r="E24" i="1"/>
  <c r="E17" i="1"/>
  <c r="E36" i="1"/>
  <c r="H34" i="1"/>
  <c r="H20" i="1"/>
  <c r="E26" i="1"/>
  <c r="E13" i="1"/>
  <c r="E37" i="1"/>
  <c r="H30" i="1"/>
  <c r="H16" i="1"/>
  <c r="E24" i="12"/>
  <c r="E34" i="15"/>
  <c r="E29" i="1"/>
  <c r="E16" i="1"/>
  <c r="H38" i="1"/>
  <c r="E19" i="1"/>
  <c r="H31" i="1"/>
  <c r="H24" i="1"/>
  <c r="H12" i="1"/>
  <c r="H35" i="1"/>
  <c r="H15" i="1"/>
  <c r="E27" i="1"/>
  <c r="E20" i="1"/>
  <c r="E32" i="1"/>
  <c r="E12" i="1"/>
  <c r="H23" i="1"/>
  <c r="E25" i="1"/>
  <c r="H19" i="1"/>
  <c r="E28" i="1"/>
  <c r="E33" i="1"/>
  <c r="H11" i="1"/>
  <c r="H37" i="1"/>
  <c r="E15" i="1"/>
  <c r="H36" i="1"/>
  <c r="E21" i="1"/>
  <c r="E34" i="1"/>
  <c r="H29" i="1"/>
  <c r="E11" i="1"/>
  <c r="E23" i="1"/>
  <c r="H18" i="1"/>
  <c r="E36" i="16"/>
  <c r="E11" i="15"/>
  <c r="H19" i="16"/>
  <c r="E27" i="15"/>
  <c r="H12" i="12"/>
  <c r="E25" i="16"/>
  <c r="H38" i="16"/>
  <c r="E29" i="5"/>
  <c r="E32" i="15"/>
  <c r="H24" i="16"/>
  <c r="H23" i="15"/>
  <c r="H36" i="12"/>
  <c r="H16" i="18"/>
  <c r="H16" i="16"/>
  <c r="E21" i="11"/>
  <c r="E34" i="11"/>
  <c r="E27" i="11"/>
  <c r="E21" i="14"/>
  <c r="H18" i="14"/>
  <c r="H27" i="11"/>
  <c r="H30" i="18"/>
  <c r="H16" i="11"/>
  <c r="H20" i="15"/>
  <c r="E36" i="5"/>
  <c r="E12" i="11"/>
  <c r="E15" i="18"/>
  <c r="E36" i="11"/>
  <c r="H33" i="15"/>
  <c r="E21" i="15"/>
  <c r="H33" i="5"/>
  <c r="E37" i="18"/>
  <c r="H24" i="12"/>
  <c r="H12" i="16"/>
  <c r="H27" i="14"/>
  <c r="E12" i="15"/>
  <c r="H27" i="18"/>
  <c r="E23" i="14"/>
  <c r="E32" i="11"/>
  <c r="H19" i="18"/>
  <c r="H36" i="14"/>
  <c r="E16" i="16"/>
  <c r="H23" i="11"/>
  <c r="E25" i="18"/>
  <c r="H34" i="18"/>
  <c r="H38" i="12"/>
  <c r="E19" i="16"/>
  <c r="H37" i="14"/>
  <c r="H15" i="15"/>
  <c r="E36" i="18"/>
  <c r="H34" i="14"/>
  <c r="E33" i="18"/>
  <c r="E17" i="18"/>
  <c r="E36" i="15"/>
  <c r="H15" i="11"/>
  <c r="H37" i="18"/>
  <c r="E19" i="18"/>
  <c r="H38" i="18"/>
  <c r="E24" i="15"/>
  <c r="H37" i="16"/>
  <c r="E29" i="18"/>
  <c r="H27" i="15"/>
  <c r="H24" i="18"/>
  <c r="H12" i="18"/>
  <c r="H33" i="16"/>
  <c r="H16" i="12"/>
  <c r="H27" i="16"/>
  <c r="H20" i="11"/>
  <c r="E13" i="15"/>
  <c r="H34" i="15"/>
  <c r="H27" i="5"/>
  <c r="E16" i="14"/>
  <c r="E24" i="16"/>
  <c r="H16" i="15"/>
  <c r="E24" i="5"/>
  <c r="H30" i="15"/>
  <c r="E37" i="15"/>
  <c r="H34" i="11"/>
  <c r="E13" i="11"/>
  <c r="E19" i="5"/>
  <c r="H17" i="11"/>
  <c r="E12" i="13"/>
  <c r="E20" i="13"/>
  <c r="H15" i="13"/>
  <c r="E32" i="13"/>
  <c r="H35" i="13"/>
  <c r="H23" i="13"/>
  <c r="E27" i="13"/>
  <c r="H32" i="11"/>
  <c r="H12" i="5"/>
  <c r="E25" i="13"/>
  <c r="H11" i="13"/>
  <c r="H19" i="13"/>
  <c r="H37" i="13"/>
  <c r="E28" i="13"/>
  <c r="E15" i="13"/>
  <c r="E33" i="13"/>
  <c r="H16" i="14"/>
  <c r="H20" i="14"/>
  <c r="E34" i="13"/>
  <c r="H29" i="13"/>
  <c r="H36" i="13"/>
  <c r="E11" i="13"/>
  <c r="H18" i="13"/>
  <c r="E21" i="13"/>
  <c r="E23" i="13"/>
  <c r="H34" i="13"/>
  <c r="H20" i="13"/>
  <c r="H16" i="13"/>
  <c r="E37" i="13"/>
  <c r="H30" i="13"/>
  <c r="E26" i="13"/>
  <c r="E13" i="13"/>
  <c r="E16" i="5"/>
  <c r="E38" i="11"/>
  <c r="E30" i="13"/>
  <c r="E38" i="13"/>
  <c r="H32" i="13"/>
  <c r="E14" i="13"/>
  <c r="H21" i="13"/>
  <c r="H17" i="13"/>
  <c r="H25" i="13"/>
  <c r="E37" i="14"/>
  <c r="H30" i="14"/>
  <c r="H33" i="12"/>
  <c r="H38" i="5"/>
  <c r="E30" i="11"/>
  <c r="E22" i="13"/>
  <c r="H13" i="13"/>
  <c r="E17" i="13"/>
  <c r="H33" i="13"/>
  <c r="E24" i="13"/>
  <c r="H27" i="13"/>
  <c r="E36" i="13"/>
  <c r="H13" i="12"/>
  <c r="H38" i="13"/>
  <c r="H24" i="13"/>
  <c r="E16" i="13"/>
  <c r="H12" i="13"/>
  <c r="E29" i="13"/>
  <c r="E19" i="13"/>
  <c r="H31" i="13"/>
  <c r="H19" i="11"/>
  <c r="E24" i="11"/>
  <c r="H33" i="11"/>
  <c r="H37" i="11"/>
  <c r="E16" i="12"/>
  <c r="E29" i="12"/>
  <c r="E36" i="12"/>
  <c r="H27" i="12"/>
  <c r="H11" i="11"/>
  <c r="H32" i="12"/>
  <c r="E15" i="11"/>
  <c r="E32" i="5"/>
  <c r="H32" i="18"/>
  <c r="E38" i="12"/>
  <c r="E27" i="5"/>
  <c r="H15" i="5"/>
  <c r="E27" i="18"/>
  <c r="E27" i="12"/>
  <c r="E32" i="12"/>
  <c r="H25" i="12"/>
  <c r="H21" i="12"/>
  <c r="H17" i="12"/>
  <c r="H13" i="11"/>
  <c r="H32" i="5"/>
  <c r="E38" i="5"/>
  <c r="H23" i="5"/>
  <c r="H30" i="16"/>
  <c r="H29" i="16"/>
  <c r="H36" i="16"/>
  <c r="E21" i="16"/>
  <c r="H21" i="15"/>
  <c r="E30" i="15"/>
  <c r="H32" i="15"/>
  <c r="E15" i="15"/>
  <c r="H37" i="15"/>
  <c r="H19" i="15"/>
  <c r="H14" i="14"/>
  <c r="H26" i="14"/>
  <c r="E31" i="14"/>
  <c r="E18" i="14"/>
  <c r="H13" i="14"/>
  <c r="E24" i="14"/>
  <c r="H33" i="14"/>
  <c r="H12" i="14"/>
  <c r="H24" i="14"/>
  <c r="H38" i="14"/>
  <c r="H31" i="14"/>
  <c r="E25" i="14"/>
  <c r="H11" i="14"/>
  <c r="E28" i="14"/>
  <c r="E13" i="12"/>
  <c r="H30" i="12"/>
  <c r="E15" i="12"/>
  <c r="E33" i="12"/>
  <c r="H19" i="12"/>
  <c r="H37" i="12"/>
  <c r="E13" i="5"/>
  <c r="H30" i="5"/>
  <c r="E25" i="5"/>
  <c r="H11" i="5"/>
  <c r="H13" i="18"/>
  <c r="E24" i="18"/>
  <c r="H33" i="18"/>
  <c r="H29" i="18"/>
  <c r="E11" i="18"/>
  <c r="H36" i="18"/>
  <c r="E21" i="18"/>
  <c r="H24" i="11"/>
  <c r="E16" i="11"/>
  <c r="E19" i="11"/>
  <c r="H29" i="11"/>
  <c r="E23" i="11"/>
  <c r="E11" i="11"/>
  <c r="H34" i="5"/>
  <c r="E37" i="5"/>
  <c r="H34" i="12"/>
  <c r="E37" i="12"/>
  <c r="H20" i="16"/>
  <c r="H34" i="16"/>
  <c r="E25" i="12"/>
  <c r="H37" i="5"/>
  <c r="E33" i="5"/>
  <c r="H19" i="14"/>
  <c r="E15" i="14"/>
  <c r="E29" i="14"/>
  <c r="E36" i="14"/>
  <c r="E22" i="14"/>
  <c r="E35" i="14"/>
  <c r="H22" i="14"/>
  <c r="E38" i="15"/>
  <c r="H17" i="15"/>
  <c r="H38" i="11"/>
  <c r="E13" i="18"/>
  <c r="H29" i="12"/>
  <c r="E34" i="12"/>
  <c r="E11" i="12"/>
  <c r="H29" i="5"/>
  <c r="E34" i="5"/>
  <c r="E11" i="5"/>
  <c r="E20" i="18"/>
  <c r="H17" i="18"/>
  <c r="E30" i="12"/>
  <c r="E33" i="11"/>
  <c r="E20" i="5"/>
  <c r="E12" i="5"/>
  <c r="E38" i="18"/>
  <c r="E34" i="18"/>
  <c r="E32" i="18"/>
  <c r="E30" i="18"/>
  <c r="H25" i="18"/>
  <c r="H23" i="18"/>
  <c r="H15" i="18"/>
  <c r="H32" i="16"/>
  <c r="E13" i="16"/>
  <c r="E27" i="16"/>
  <c r="E11" i="16"/>
  <c r="E38" i="16"/>
  <c r="E34" i="16"/>
  <c r="E32" i="16"/>
  <c r="H25" i="16"/>
  <c r="H21" i="16"/>
  <c r="H17" i="16"/>
  <c r="H13" i="15"/>
  <c r="E16" i="15"/>
  <c r="H11" i="15"/>
  <c r="H38" i="15"/>
  <c r="E33" i="15"/>
  <c r="E25" i="15"/>
  <c r="E19" i="15"/>
  <c r="H12" i="15"/>
  <c r="H32" i="14"/>
  <c r="E13" i="14"/>
  <c r="E27" i="14"/>
  <c r="E11" i="14"/>
  <c r="E38" i="14"/>
  <c r="E34" i="14"/>
  <c r="E32" i="14"/>
  <c r="H23" i="14"/>
  <c r="E20" i="14"/>
  <c r="H15" i="14"/>
  <c r="E12" i="14"/>
  <c r="H23" i="12"/>
  <c r="E20" i="12"/>
  <c r="H15" i="12"/>
  <c r="E29" i="11"/>
  <c r="H23" i="16"/>
  <c r="E20" i="16"/>
  <c r="H15" i="16"/>
  <c r="E29" i="15"/>
  <c r="E30" i="14"/>
  <c r="H25" i="14"/>
  <c r="H21" i="14"/>
  <c r="H17" i="14"/>
  <c r="E30" i="5"/>
  <c r="H25" i="5"/>
  <c r="H21" i="5"/>
  <c r="H17" i="5"/>
  <c r="H23" i="7" l="1"/>
  <c r="E12" i="7"/>
  <c r="E27" i="7"/>
  <c r="H15" i="7"/>
  <c r="E32" i="7"/>
  <c r="E2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<sst xmlns="http://schemas.openxmlformats.org/spreadsheetml/2006/main" count="3281" uniqueCount="395">
  <si>
    <t>Groep 7/8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</si>
  <si>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</si>
  <si>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</si>
  <si>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</si>
  <si>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</si>
  <si>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</si>
  <si>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</si>
  <si>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</si>
  <si>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</si>
  <si>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</si>
  <si>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</si>
  <si>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</si>
  <si>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</si>
  <si>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</si>
  <si>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</si>
  <si>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</si>
  <si>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Maria M2</t>
  </si>
  <si>
    <t>Tuin M1</t>
  </si>
  <si>
    <t>Eglantier-B M1</t>
  </si>
  <si>
    <t>Laurentius M1</t>
  </si>
  <si>
    <t>Mozaïek M1</t>
  </si>
  <si>
    <t>Freinet M1</t>
  </si>
  <si>
    <t>Horizon G1</t>
  </si>
  <si>
    <t>Maria M1</t>
  </si>
  <si>
    <t>Maria J1</t>
  </si>
  <si>
    <t>Galjoen M1</t>
  </si>
  <si>
    <t>Maria M3</t>
  </si>
  <si>
    <t>Horizon M2</t>
  </si>
  <si>
    <t>DSV M2</t>
  </si>
  <si>
    <t>BMS M1</t>
  </si>
  <si>
    <t>Gabriël M1</t>
  </si>
  <si>
    <t>Max G1</t>
  </si>
  <si>
    <t>Mozaïek G1</t>
  </si>
  <si>
    <t>Springwijs J1</t>
  </si>
  <si>
    <t>Springwijs M1</t>
  </si>
  <si>
    <t>Galjoen M2</t>
  </si>
  <si>
    <t>Maria M4</t>
  </si>
  <si>
    <t>Talent M2</t>
  </si>
  <si>
    <t>Bonte Pael M1</t>
  </si>
  <si>
    <t>Rembrandt M1</t>
  </si>
  <si>
    <t>Galjoen G1</t>
  </si>
  <si>
    <t>Gabriël G1</t>
  </si>
  <si>
    <t>Galjoen J1</t>
  </si>
  <si>
    <t>Max M1</t>
  </si>
  <si>
    <t>Springwijs M2</t>
  </si>
  <si>
    <t>Galjoen M3</t>
  </si>
  <si>
    <t>Maria M5</t>
  </si>
  <si>
    <t>Maria M6</t>
  </si>
  <si>
    <t>Maria M8</t>
  </si>
  <si>
    <t>Talent G1</t>
  </si>
  <si>
    <t>Max G2</t>
  </si>
  <si>
    <t>Gabriël J1</t>
  </si>
  <si>
    <t>Maurits M1</t>
  </si>
  <si>
    <t>Talent M1</t>
  </si>
  <si>
    <t>Springwijs M3</t>
  </si>
  <si>
    <t>Galjoen M4</t>
  </si>
  <si>
    <t>Maria M7</t>
  </si>
  <si>
    <t>Maurits M2</t>
  </si>
  <si>
    <t>Schatkaart G1</t>
  </si>
  <si>
    <t>Horizon G2</t>
  </si>
  <si>
    <t>Talent J1</t>
  </si>
  <si>
    <t>DSV M1</t>
  </si>
  <si>
    <t>Widar M2</t>
  </si>
  <si>
    <t>Maan M1</t>
  </si>
  <si>
    <t>Max M2</t>
  </si>
  <si>
    <t>Oostpoort M1</t>
  </si>
  <si>
    <t>Maria M9</t>
  </si>
  <si>
    <t>M Delft G1</t>
  </si>
  <si>
    <t>Galjoen G2</t>
  </si>
  <si>
    <t>Horizon J1</t>
  </si>
  <si>
    <t>Horizon M1</t>
  </si>
  <si>
    <t>Regenboog M1</t>
  </si>
  <si>
    <t>Widar M3</t>
  </si>
  <si>
    <t>Tuin M2</t>
  </si>
  <si>
    <t>Waterhof M1</t>
  </si>
  <si>
    <t>Maan M2</t>
  </si>
  <si>
    <t>Maria G1</t>
  </si>
  <si>
    <t>Freinet G1</t>
  </si>
  <si>
    <t>Widar J1</t>
  </si>
  <si>
    <t>Widar M1</t>
  </si>
  <si>
    <t>Waterhof J1</t>
  </si>
  <si>
    <t>J</t>
  </si>
  <si>
    <t>K</t>
  </si>
  <si>
    <t>L</t>
  </si>
  <si>
    <t>M</t>
  </si>
  <si>
    <t>N</t>
  </si>
  <si>
    <t>O</t>
  </si>
  <si>
    <t>P</t>
  </si>
  <si>
    <t>Q</t>
  </si>
  <si>
    <t>R</t>
  </si>
  <si>
    <t>Titus J1</t>
  </si>
  <si>
    <t>Horizon J2</t>
  </si>
  <si>
    <t>Eglantier-V J1</t>
  </si>
  <si>
    <t>DSV J2</t>
  </si>
  <si>
    <t>Laurentius J1</t>
  </si>
  <si>
    <t>Park J1</t>
  </si>
  <si>
    <t>Maria J8</t>
  </si>
  <si>
    <t>Waterhof J4</t>
  </si>
  <si>
    <t>Eglantier-B J1</t>
  </si>
  <si>
    <t>Maria J2</t>
  </si>
  <si>
    <t>Talent J2</t>
  </si>
  <si>
    <t>Titus J2</t>
  </si>
  <si>
    <t>Mozaïek J2</t>
  </si>
  <si>
    <t>Eglantier-V J2</t>
  </si>
  <si>
    <t>BMS J2</t>
  </si>
  <si>
    <t>Rembrandt J1</t>
  </si>
  <si>
    <t>Regenboog J1</t>
  </si>
  <si>
    <t>Gabriël J5</t>
  </si>
  <si>
    <t>Springwijs J2</t>
  </si>
  <si>
    <t>Maria J3</t>
  </si>
  <si>
    <t>Gabriël J3</t>
  </si>
  <si>
    <t>Horizon J3</t>
  </si>
  <si>
    <t>Titus J3</t>
  </si>
  <si>
    <t>Maurits J1</t>
  </si>
  <si>
    <t>DSV J3</t>
  </si>
  <si>
    <t>Talent J5</t>
  </si>
  <si>
    <t>Freinet J3</t>
  </si>
  <si>
    <t>Galjoen J2</t>
  </si>
  <si>
    <t>Springwijs J3</t>
  </si>
  <si>
    <t>Maria J4</t>
  </si>
  <si>
    <t>Talent J3</t>
  </si>
  <si>
    <t>Gabriël J4</t>
  </si>
  <si>
    <t>Horizon J4</t>
  </si>
  <si>
    <t>Tuin J1</t>
  </si>
  <si>
    <t>Max J2</t>
  </si>
  <si>
    <t>BMS J3</t>
  </si>
  <si>
    <t>Gabriël J2</t>
  </si>
  <si>
    <t>Galjoen J3</t>
  </si>
  <si>
    <t>Springwijs J4</t>
  </si>
  <si>
    <t>Maria J5</t>
  </si>
  <si>
    <t>Galjoen J6</t>
  </si>
  <si>
    <t>Talent J4</t>
  </si>
  <si>
    <t>Eglantier-V J3</t>
  </si>
  <si>
    <t>Freinet J2</t>
  </si>
  <si>
    <t>Maurits J2</t>
  </si>
  <si>
    <t>DSV J1</t>
  </si>
  <si>
    <t>BMS J1</t>
  </si>
  <si>
    <t>Galjoen J4</t>
  </si>
  <si>
    <t>Springwijs J5</t>
  </si>
  <si>
    <t>Maria J6</t>
  </si>
  <si>
    <t>Springwijs J6</t>
  </si>
  <si>
    <t>Bonte Pael J1</t>
  </si>
  <si>
    <t>Laurentius J2</t>
  </si>
  <si>
    <t>Max J3</t>
  </si>
  <si>
    <t>Mozaïek J1</t>
  </si>
  <si>
    <t>Waterhof J2</t>
  </si>
  <si>
    <t>Widar J3</t>
  </si>
  <si>
    <t>Galjoen J5</t>
  </si>
  <si>
    <t>Max J1</t>
  </si>
  <si>
    <t>Maria J7</t>
  </si>
  <si>
    <t>Widar J5</t>
  </si>
  <si>
    <t>Titus J4</t>
  </si>
  <si>
    <t>Vermeer J2</t>
  </si>
  <si>
    <t>Widar J2</t>
  </si>
  <si>
    <t>Freinet J1</t>
  </si>
  <si>
    <t>Waterhof J3</t>
  </si>
  <si>
    <t>Widar J4</t>
  </si>
  <si>
    <t>Oostpoort J1</t>
  </si>
  <si>
    <t>Vermeer J1</t>
  </si>
  <si>
    <t>Cornelis J1</t>
  </si>
  <si>
    <t>Mozaïek J3</t>
  </si>
  <si>
    <t>M Delft J1</t>
  </si>
  <si>
    <t>S</t>
  </si>
  <si>
    <t>T</t>
  </si>
  <si>
    <t>U</t>
  </si>
  <si>
    <t>V</t>
  </si>
  <si>
    <t>W</t>
  </si>
  <si>
    <t>X</t>
  </si>
  <si>
    <t>Y</t>
  </si>
  <si>
    <t>Z</t>
  </si>
  <si>
    <t>Bonte Pael J2</t>
  </si>
  <si>
    <t>Springwijs J7</t>
  </si>
  <si>
    <t>Schatkaart J1</t>
  </si>
  <si>
    <t>Rembrandt J2</t>
  </si>
  <si>
    <t>Mgr. Bekkers J1</t>
  </si>
  <si>
    <t>Tuin J2</t>
  </si>
  <si>
    <t>Regenboog J2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</si>
  <si>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</si>
  <si>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</si>
  <si>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</si>
  <si>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</si>
  <si>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</si>
  <si>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</si>
  <si>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</si>
  <si>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</si>
  <si>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</si>
  <si>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</si>
  <si>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</si>
  <si>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</si>
  <si>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</si>
  <si>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</si>
  <si>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</si>
  <si>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</si>
  <si>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</si>
  <si>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</si>
  <si>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</si>
  <si>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</si>
  <si>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</si>
  <si>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</si>
  <si>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</si>
  <si>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</si>
  <si>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</si>
  <si>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</si>
  <si>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</si>
  <si>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</si>
  <si>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</si>
  <si>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</si>
  <si>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</si>
  <si>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</si>
  <si>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</si>
  <si>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</si>
  <si>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</si>
  <si>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</si>
  <si>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</si>
  <si>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</si>
  <si>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</si>
  <si>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</si>
  <si>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</si>
  <si>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</si>
  <si>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</si>
  <si>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</si>
  <si>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</si>
  <si>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</si>
  <si>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</si>
  <si>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</si>
  <si>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</si>
  <si>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</si>
  <si>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</si>
  <si>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</si>
  <si>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</si>
  <si>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</si>
  <si>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</si>
  <si>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</si>
  <si>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</si>
  <si>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</si>
  <si>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</si>
  <si>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</si>
  <si>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</si>
  <si>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</si>
  <si>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</si>
  <si>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</si>
  <si>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</si>
  <si>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</si>
  <si>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</si>
  <si>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</si>
  <si>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</si>
  <si>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</si>
  <si>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</si>
  <si>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</si>
  <si>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</si>
  <si>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</si>
  <si>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</si>
  <si>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</si>
  <si>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</si>
  <si>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</si>
  <si>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</si>
  <si>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</si>
  <si>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</si>
  <si>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</si>
  <si>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</si>
  <si>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</si>
  <si>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</si>
  <si>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</si>
  <si>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</si>
  <si>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</si>
  <si>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</si>
  <si>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</si>
  <si>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</si>
  <si>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</si>
  <si>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</si>
  <si>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</si>
  <si>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7-8</t>
  </si>
  <si>
    <t>Groep 5-6</t>
  </si>
  <si>
    <t>Groep 3-4</t>
  </si>
  <si>
    <t>Scheidsrechter</t>
  </si>
  <si>
    <t xml:space="preserve">Theo Dessens </t>
  </si>
  <si>
    <t>Arnold Scholte</t>
  </si>
  <si>
    <t>Guus Heemskerk</t>
  </si>
  <si>
    <t>Peter Lips</t>
  </si>
  <si>
    <t>Leo Boer</t>
  </si>
  <si>
    <t>Henk Priem</t>
  </si>
  <si>
    <t xml:space="preserve">Anita Schouten </t>
  </si>
  <si>
    <t>Stefan de Vink</t>
  </si>
  <si>
    <t>Diana Schouten</t>
  </si>
  <si>
    <t>Dianne Slingerland</t>
  </si>
  <si>
    <t>Ton Haanappel</t>
  </si>
  <si>
    <t>Iris Klein Bog</t>
  </si>
  <si>
    <t xml:space="preserve">Cock Smink </t>
  </si>
  <si>
    <t>Gerard Zoet</t>
  </si>
  <si>
    <t>Bas Kers</t>
  </si>
  <si>
    <t>Joyce Hupkes</t>
  </si>
  <si>
    <t>Ruud Bakas</t>
  </si>
  <si>
    <t>Till Sander</t>
  </si>
  <si>
    <t>Ruud van Oosten</t>
  </si>
  <si>
    <t>Michael Koster</t>
  </si>
  <si>
    <t>Marlin Blitterswijck</t>
  </si>
  <si>
    <t>Jeroen Timpman</t>
  </si>
  <si>
    <t xml:space="preserve">Louis vd Weijde </t>
  </si>
  <si>
    <t>Joost Los</t>
  </si>
  <si>
    <t>Marcel de Letter</t>
  </si>
  <si>
    <t>John Kortekaas</t>
  </si>
  <si>
    <t xml:space="preserve">Gert-Jan Schotmeijer </t>
  </si>
  <si>
    <t>Dion Dingler</t>
  </si>
  <si>
    <t>Marco de Kok</t>
  </si>
  <si>
    <t>Micha vd Meulen</t>
  </si>
  <si>
    <t>Rien Beenen</t>
  </si>
  <si>
    <t>Arjen Klapwijk</t>
  </si>
  <si>
    <t>Robèrt vd Bosch</t>
  </si>
  <si>
    <t>Johan Hiemstra</t>
  </si>
  <si>
    <t>Michel vd Vlist</t>
  </si>
  <si>
    <t>Thom Melissen</t>
  </si>
  <si>
    <t>Ronnie Pinas</t>
  </si>
  <si>
    <t>Danny vd Salm</t>
  </si>
  <si>
    <t>John de Letter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</si>
  <si>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</si>
  <si>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</si>
  <si>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</si>
  <si>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</si>
  <si>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</si>
  <si>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</si>
  <si>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</si>
  <si>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</si>
  <si>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</si>
  <si>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</si>
  <si>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</si>
  <si>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</si>
  <si>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</si>
  <si>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</si>
  <si>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</si>
  <si>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</si>
  <si>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</si>
  <si>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</si>
  <si>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</si>
  <si>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</si>
  <si>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</si>
  <si>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</si>
  <si>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</si>
  <si>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</si>
  <si>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</si>
  <si>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Eerste finaleronde</t>
  </si>
  <si>
    <t>1e Poule A</t>
  </si>
  <si>
    <t>8e nr. 2</t>
  </si>
  <si>
    <t>1e Poule B</t>
  </si>
  <si>
    <t>9e nr. 2</t>
  </si>
  <si>
    <t>1e Poule C</t>
  </si>
  <si>
    <t>10e nr. 2</t>
  </si>
  <si>
    <t>1e Poule D</t>
  </si>
  <si>
    <t>11e nr. 2</t>
  </si>
  <si>
    <t>1e Poule E</t>
  </si>
  <si>
    <t>12e nr. 2</t>
  </si>
  <si>
    <t>Gert-Jan Schotmeyer</t>
  </si>
  <si>
    <t>`</t>
  </si>
  <si>
    <t>1e Poule F</t>
  </si>
  <si>
    <t>13e nr. 2</t>
  </si>
  <si>
    <t>1e Poule G</t>
  </si>
  <si>
    <t>6e nr. 2</t>
  </si>
  <si>
    <t>Louis vd Weijde</t>
  </si>
  <si>
    <t>1e Poule H</t>
  </si>
  <si>
    <t>7e nr. 2</t>
  </si>
  <si>
    <t>1e Poule I</t>
  </si>
  <si>
    <t>1e Poule Q</t>
  </si>
  <si>
    <t>Ruud v Oosten</t>
  </si>
  <si>
    <t>1e Poule J</t>
  </si>
  <si>
    <t>1e Poule R</t>
  </si>
  <si>
    <t>1e Poule K</t>
  </si>
  <si>
    <t>1e Poule S</t>
  </si>
  <si>
    <t>1e Poule L</t>
  </si>
  <si>
    <t>1e nr. 2</t>
  </si>
  <si>
    <t>1e Poule M</t>
  </si>
  <si>
    <t>2e nr. 2</t>
  </si>
  <si>
    <t>1e Poule N</t>
  </si>
  <si>
    <t>3e nr. 2</t>
  </si>
  <si>
    <t>1e Poule O</t>
  </si>
  <si>
    <t>4e nr. 2</t>
  </si>
  <si>
    <t>1e Poule P</t>
  </si>
  <si>
    <t>5e nr. 2</t>
  </si>
  <si>
    <t>Anita Schouten</t>
  </si>
  <si>
    <t>Achtste finales</t>
  </si>
  <si>
    <t>17:30</t>
  </si>
  <si>
    <t>Kwart finales</t>
  </si>
  <si>
    <t>Halve finales</t>
  </si>
  <si>
    <t>Arjen Renssen</t>
  </si>
  <si>
    <t>Finale</t>
  </si>
  <si>
    <t>en</t>
  </si>
  <si>
    <t>Kleine finale</t>
  </si>
  <si>
    <t>Algemeen</t>
  </si>
  <si>
    <t>1e plaats gemengd 4 tegen 4 toernooi:</t>
  </si>
  <si>
    <t>2e plaats gemengd 4 tegen 4 toernooi:</t>
  </si>
  <si>
    <t>3e plaats gemengd 4 tegen 4 toernooi:</t>
  </si>
  <si>
    <t>1e plaats meisjes 4 tegen 4 toernooi:</t>
  </si>
  <si>
    <t>2e plaats meisjes 4 tegen 4 toernooi:</t>
  </si>
  <si>
    <t>3e plaats meisjes 4 tegen 4 toernooi:</t>
  </si>
  <si>
    <t>1e plaats jongens 4 tegen 4 toernooi:</t>
  </si>
  <si>
    <t>2e plaats jongens 4 tegen 4 toernooi:</t>
  </si>
  <si>
    <t>3e plaats jongens 4 tegen 4 toernooi: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</si>
</sst>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 x14ac:knownFonts="1">
    <font>
      <sz val="10"/>
      <name val="Arial"/>
    </font>
    <font>
      <b/>
      <sz val="16"/>
      <name val="Arial Narrow"/>
      <family val="2"/>
    </font>
    <font>
      <sz val="10"/>
      <name val="Arial Narrow"/>
      <family val="2"/>
    </font>
    <font>
      <sz val="11"/>
      <name val="Arial Narrow"/>
      <family val="2"/>
    </font>
    <font>
      <sz val="16"/>
      <name val="Arial Narrow"/>
      <family val="2"/>
    </font>
    <font>
      <sz val="14"/>
      <name val="Arial Narrow"/>
      <family val="2"/>
    </font>
    <font>
      <b/>
      <sz val="14"/>
      <name val="Arial Narrow"/>
      <family val="2"/>
    </font>
    <font>
      <b/>
      <i/>
      <sz val="12"/>
      <name val="Arial Narrow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b/>
      <i/>
      <sz val="14"/>
      <name val="Arial Narrow"/>
      <family val="2"/>
    </font>
    <font>
      <sz val="10"/>
      <color indexed="22"/>
      <name val="Arial Narrow"/>
      <family val="2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z val="10"/>
      <color rgb="FFFF0000"/>
      <name val="Arial Narrow"/>
      <family val="2"/>
    </font>
    <font>
      <b/>
      <sz val="11"/>
      <name val="Arial Narrow"/>
      <family val="2"/>
    </font>
    <font>
      <sz val="11"/>
      <color indexed="12"/>
      <name val="Arial Narrow"/>
      <family val="2"/>
    </font>
    <font>
      <sz val="10"/>
      <color rgb="FF00B050"/>
      <name val="Arial Narrow"/>
      <family val="2"/>
    </font>
    <font>
      <sz val="10"/>
      <color rgb="FF7030A0"/>
      <name val="Arial Narrow"/>
      <family val="2"/>
    </font>
    <font>
      <b/>
      <sz val="11"/>
      <name val="Arial"/>
      <family val="2"/>
    </font>
    <font>
      <strike/>
      <sz val="10"/>
      <name val="Arial Narrow"/>
      <family val="2"/>
    </font>
    <font>
      <sz val="12"/>
      <color rgb="FFFF0000"/>
      <name val="Arial Narrow"/>
      <family val="2"/>
    </font>
    <font>
      <sz val="11"/>
      <color rgb="FF0000FF"/>
      <name val="Arial Narrow"/>
      <family val="2"/>
    </font>
    <font>
      <b/>
      <sz val="10"/>
      <name val="Arial"/>
      <family val="2"/>
    </font>
    <font>
      <b/>
      <sz val="12"/>
      <color indexed="8"/>
      <name val="Arial Narrow"/>
      <family val="2"/>
    </font>
    <font>
      <b/>
      <sz val="16"/>
      <color indexed="8"/>
      <name val="Arial Narrow"/>
      <family val="2"/>
    </font>
    <font>
      <sz val="10"/>
      <color rgb="FF434343"/>
      <name val="Arial"/>
      <family val="2"/>
    </font>
    <font>
      <sz val="10"/>
      <color rgb="FF434343"/>
      <name val="Arial"/>
      <family val="2"/>
    </font>
    <font>
      <sz val="9"/>
      <color rgb="FF000000"/>
      <name val="Arial"/>
      <family val="2"/>
    </font>
    <font>
      <sz val="10"/>
      <color rgb="FFB7B7B7"/>
      <name val="Arial"/>
      <family val="2"/>
    </font>
    <font>
      <b/>
      <sz val="10"/>
      <color theme="1"/>
      <name val="Arial"/>
      <family val="2"/>
    </font>
    <font>
      <sz val="16"/>
      <color indexed="8"/>
      <name val="Arial Narrow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3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1" xfId="0" applyFont="1" applyBorder="1"/>
    <xf numFmtId="0" fontId="5" fillId="0" borderId="6" xfId="0" applyFont="1" applyBorder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6" fillId="0" borderId="1" xfId="0" applyFont="1" applyBorder="1" applyAlignment="1">
      <alignment horizontal="centerContinuous" vertical="center"/>
    </xf>
    <xf numFmtId="0" fontId="6" fillId="0" borderId="4" xfId="0" applyFont="1" applyBorder="1" applyAlignment="1">
      <alignment horizontal="centerContinuous" vertical="center"/>
    </xf>
    <xf numFmtId="0" fontId="7" fillId="0" borderId="3" xfId="0" applyFont="1" applyBorder="1" applyAlignment="1">
      <alignment vertical="center"/>
    </xf>
    <xf numFmtId="0" fontId="7" fillId="0" borderId="5" xfId="0" applyFont="1" applyBorder="1" applyAlignment="1">
      <alignment horizontal="centerContinuous" vertical="center"/>
    </xf>
    <xf numFmtId="0" fontId="7" fillId="0" borderId="2" xfId="0" applyFont="1" applyBorder="1" applyAlignment="1">
      <alignment horizontal="centerContinuous" vertical="center"/>
    </xf>
    <xf numFmtId="0" fontId="7" fillId="0" borderId="11" xfId="0" applyFont="1" applyBorder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8" fillId="0" borderId="7" xfId="0" applyFont="1" applyBorder="1" applyAlignment="1">
      <alignment horizontal="centerContinuous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8" fillId="0" borderId="9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10" xfId="0" applyFont="1" applyBorder="1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9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10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8" fillId="0" borderId="6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Continuous" vertical="center"/>
    </xf>
    <xf numFmtId="0" fontId="8" fillId="0" borderId="4" xfId="0" applyFont="1" applyBorder="1" applyAlignment="1">
      <alignment horizontal="centerContinuous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1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Continuous" vertical="center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6" fillId="2" borderId="6" xfId="0" applyFont="1" applyFill="1" applyBorder="1"/>
    <xf numFmtId="0" fontId="16" fillId="2" borderId="9" xfId="0" applyFont="1" applyFill="1" applyBorder="1"/>
    <xf numFmtId="0" fontId="18" fillId="0" borderId="0" xfId="0" applyFont="1"/>
    <xf numFmtId="0" fontId="20" fillId="2" borderId="0" xfId="0" applyFont="1" applyFill="1"/>
    <xf numFmtId="0" fontId="21" fillId="0" borderId="0" xfId="0" applyFont="1"/>
    <xf numFmtId="0" fontId="22" fillId="0" borderId="0" xfId="0" applyFont="1"/>
    <xf numFmtId="0" fontId="5" fillId="0" borderId="0" xfId="0" applyFont="1"/>
    <xf numFmtId="164" fontId="6" fillId="0" borderId="0" xfId="0" applyNumberFormat="1" applyFont="1" applyAlignment="1">
      <alignment horizontal="left"/>
    </xf>
    <xf numFmtId="164" fontId="19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0" fillId="0" borderId="0" xfId="0" applyFont="1"/>
    <xf numFmtId="0" fontId="3" fillId="0" borderId="0" xfId="0" applyFont="1" applyAlignment="1">
      <alignment horizontal="left"/>
    </xf>
    <xf numFmtId="0" fontId="15" fillId="0" borderId="0" xfId="0" applyFont="1"/>
    <xf numFmtId="164" fontId="15" fillId="0" borderId="0" xfId="0" applyNumberFormat="1" applyFont="1" applyAlignment="1">
      <alignment horizontal="center"/>
    </xf>
    <xf numFmtId="0" fontId="2" fillId="0" borderId="8" xfId="0" applyFont="1" applyBorder="1"/>
    <xf numFmtId="0" fontId="2" fillId="0" borderId="7" xfId="0" applyFont="1" applyBorder="1"/>
    <xf numFmtId="0" fontId="2" fillId="0" borderId="9" xfId="0" applyFont="1" applyBorder="1"/>
    <xf numFmtId="0" fontId="2" fillId="0" borderId="10" xfId="0" applyFont="1" applyBorder="1" applyAlignment="1">
      <alignment horizontal="left"/>
    </xf>
    <xf numFmtId="0" fontId="2" fillId="0" borderId="5" xfId="0" applyFont="1" applyBorder="1"/>
    <xf numFmtId="0" fontId="2" fillId="0" borderId="2" xfId="0" applyFont="1" applyBorder="1"/>
    <xf numFmtId="0" fontId="2" fillId="0" borderId="14" xfId="0" applyFont="1" applyBorder="1"/>
    <xf numFmtId="0" fontId="2" fillId="0" borderId="0" xfId="0" applyFont="1" applyAlignment="1">
      <alignment horizontal="left"/>
    </xf>
    <xf numFmtId="0" fontId="17" fillId="0" borderId="0" xfId="0" applyFont="1"/>
    <xf numFmtId="0" fontId="2" fillId="2" borderId="4" xfId="0" applyFont="1" applyFill="1" applyBorder="1"/>
    <xf numFmtId="0" fontId="2" fillId="2" borderId="10" xfId="0" applyFont="1" applyFill="1" applyBorder="1"/>
    <xf numFmtId="0" fontId="15" fillId="0" borderId="3" xfId="0" applyFont="1" applyBorder="1" applyAlignment="1">
      <alignment horizontal="center"/>
    </xf>
    <xf numFmtId="2" fontId="24" fillId="0" borderId="0" xfId="0" applyNumberFormat="1" applyFont="1"/>
    <xf numFmtId="0" fontId="24" fillId="0" borderId="0" xfId="0" applyFont="1"/>
    <xf numFmtId="0" fontId="7" fillId="0" borderId="8" xfId="0" applyFont="1" applyBorder="1" applyAlignment="1">
      <alignment horizontal="centerContinuous" vertical="center"/>
    </xf>
    <xf numFmtId="0" fontId="7" fillId="0" borderId="7" xfId="0" applyFont="1" applyBorder="1" applyAlignment="1">
      <alignment horizontal="centerContinuous" vertical="center"/>
    </xf>
    <xf numFmtId="0" fontId="25" fillId="0" borderId="0" xfId="0" applyFont="1" applyAlignment="1">
      <alignment vertical="center"/>
    </xf>
    <xf numFmtId="0" fontId="25" fillId="0" borderId="10" xfId="0" applyFont="1" applyBorder="1" applyAlignment="1">
      <alignment vertical="center"/>
    </xf>
    <xf numFmtId="0" fontId="8" fillId="0" borderId="1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8" fillId="0" borderId="14" xfId="0" applyFont="1" applyBorder="1" applyAlignment="1">
      <alignment horizontal="centerContinuous" vertical="center"/>
    </xf>
    <xf numFmtId="0" fontId="9" fillId="0" borderId="14" xfId="0" applyFont="1" applyBorder="1" applyAlignment="1">
      <alignment horizontal="center" vertical="center"/>
    </xf>
    <xf numFmtId="0" fontId="9" fillId="0" borderId="14" xfId="0" applyFont="1" applyBorder="1" applyAlignment="1">
      <alignment vertical="center"/>
    </xf>
    <xf numFmtId="0" fontId="7" fillId="0" borderId="14" xfId="0" applyFont="1" applyBorder="1" applyAlignment="1">
      <alignment horizontal="centerContinuous" vertical="center"/>
    </xf>
    <xf numFmtId="0" fontId="5" fillId="0" borderId="14" xfId="0" applyFont="1" applyBorder="1" applyAlignment="1">
      <alignment horizontal="centerContinuous" vertical="center"/>
    </xf>
    <xf numFmtId="0" fontId="6" fillId="0" borderId="14" xfId="0" applyFont="1" applyBorder="1" applyAlignment="1">
      <alignment horizontal="centerContinuous" vertical="center"/>
    </xf>
    <xf numFmtId="0" fontId="12" fillId="0" borderId="14" xfId="0" applyFont="1" applyBorder="1" applyAlignment="1">
      <alignment horizontal="left" vertical="center"/>
    </xf>
    <xf numFmtId="0" fontId="10" fillId="0" borderId="14" xfId="0" applyFont="1" applyBorder="1" applyAlignment="1">
      <alignment vertical="center"/>
    </xf>
    <xf numFmtId="0" fontId="8" fillId="0" borderId="14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26" fillId="2" borderId="0" xfId="0" applyFont="1" applyFill="1"/>
    <xf numFmtId="0" fontId="2" fillId="2" borderId="7" xfId="0" applyFont="1" applyFill="1" applyBorder="1"/>
    <xf numFmtId="0" fontId="26" fillId="2" borderId="0" xfId="0" applyFont="1" applyFill="1" applyAlignment="1">
      <alignment horizontal="left"/>
    </xf>
    <xf numFmtId="0" fontId="3" fillId="2" borderId="0" xfId="0" applyFont="1" applyFill="1"/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20" fontId="8" fillId="0" borderId="8" xfId="0" applyNumberFormat="1" applyFont="1" applyBorder="1" applyAlignment="1">
      <alignment horizontal="center" vertical="center"/>
    </xf>
    <xf numFmtId="20" fontId="8" fillId="0" borderId="14" xfId="0" applyNumberFormat="1" applyFont="1" applyBorder="1" applyAlignment="1">
      <alignment horizontal="center" vertical="center"/>
    </xf>
    <xf numFmtId="49" fontId="8" fillId="0" borderId="8" xfId="0" applyNumberFormat="1" applyFont="1" applyBorder="1" applyAlignment="1">
      <alignment horizontal="center" vertical="center"/>
    </xf>
    <xf numFmtId="20" fontId="8" fillId="0" borderId="7" xfId="0" applyNumberFormat="1" applyFont="1" applyBorder="1" applyAlignment="1">
      <alignment horizontal="center" vertical="center"/>
    </xf>
    <xf numFmtId="0" fontId="27" fillId="0" borderId="0" xfId="0" applyFont="1"/>
    <xf numFmtId="0" fontId="2" fillId="0" borderId="8" xfId="0" applyFont="1" applyBorder="1" applyAlignment="1">
      <alignment horizontal="left" vertical="center"/>
    </xf>
    <xf numFmtId="0" fontId="9" fillId="0" borderId="14" xfId="0" applyFont="1" applyBorder="1" applyAlignment="1">
      <alignment horizontal="centerContinuous" vertical="center"/>
    </xf>
    <xf numFmtId="0" fontId="2" fillId="0" borderId="14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9" fillId="0" borderId="0" xfId="0" applyFont="1" applyAlignment="1">
      <alignment horizontal="centerContinuous" vertical="center"/>
    </xf>
    <xf numFmtId="0" fontId="2" fillId="0" borderId="0" xfId="0" applyFont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centerContinuous" vertical="center"/>
    </xf>
    <xf numFmtId="0" fontId="2" fillId="0" borderId="1" xfId="0" applyFont="1" applyBorder="1" applyAlignment="1">
      <alignment horizontal="left" vertical="center"/>
    </xf>
    <xf numFmtId="0" fontId="9" fillId="0" borderId="6" xfId="0" applyFont="1" applyBorder="1" applyAlignment="1">
      <alignment vertical="center"/>
    </xf>
    <xf numFmtId="0" fontId="7" fillId="0" borderId="5" xfId="0" applyFont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28" fillId="0" borderId="0" xfId="0" applyFont="1" applyAlignment="1">
      <alignment horizontal="left" vertical="top"/>
    </xf>
    <xf numFmtId="0" fontId="29" fillId="0" borderId="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13" xfId="0" applyFont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0" fontId="8" fillId="0" borderId="8" xfId="0" applyFont="1" applyBorder="1" applyAlignment="1">
      <alignment horizontal="centerContinuous" vertical="center"/>
    </xf>
    <xf numFmtId="20" fontId="8" fillId="0" borderId="9" xfId="0" applyNumberFormat="1" applyFont="1" applyBorder="1" applyAlignment="1">
      <alignment horizontal="center" vertical="center"/>
    </xf>
    <xf numFmtId="20" fontId="8" fillId="0" borderId="10" xfId="0" applyNumberFormat="1" applyFont="1" applyBorder="1" applyAlignment="1">
      <alignment horizontal="center" vertical="center"/>
    </xf>
    <xf numFmtId="0" fontId="8" fillId="0" borderId="9" xfId="0" applyFont="1" applyBorder="1" applyAlignment="1">
      <alignment horizontal="centerContinuous" vertical="center"/>
    </xf>
    <xf numFmtId="20" fontId="8" fillId="0" borderId="6" xfId="0" applyNumberFormat="1" applyFont="1" applyBorder="1" applyAlignment="1">
      <alignment horizontal="center" vertical="center"/>
    </xf>
    <xf numFmtId="20" fontId="8" fillId="0" borderId="4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centerContinuous" vertical="center"/>
    </xf>
    <xf numFmtId="0" fontId="2" fillId="0" borderId="3" xfId="0" applyFont="1" applyBorder="1" applyAlignment="1">
      <alignment horizontal="center"/>
    </xf>
    <xf numFmtId="0" fontId="8" fillId="0" borderId="5" xfId="0" applyFont="1" applyBorder="1" applyAlignment="1">
      <alignment horizontal="left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8" fillId="0" borderId="8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9" fillId="0" borderId="1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8" fillId="0" borderId="9" xfId="0" applyFont="1" applyBorder="1" applyAlignment="1">
      <alignment horizontal="left" vertical="center"/>
    </xf>
    <xf numFmtId="0" fontId="9" fillId="4" borderId="3" xfId="0" applyFont="1" applyFill="1" applyBorder="1" applyAlignment="1">
      <alignment vertical="center"/>
    </xf>
    <xf numFmtId="0" fontId="9" fillId="4" borderId="5" xfId="0" applyFont="1" applyFill="1" applyBorder="1" applyAlignment="1">
      <alignment vertical="center"/>
    </xf>
    <xf numFmtId="0" fontId="9" fillId="4" borderId="2" xfId="0" applyFont="1" applyFill="1" applyBorder="1" applyAlignment="1">
      <alignment vertical="center"/>
    </xf>
    <xf numFmtId="0" fontId="9" fillId="4" borderId="11" xfId="0" applyFont="1" applyFill="1" applyBorder="1" applyAlignment="1">
      <alignment vertical="center"/>
    </xf>
    <xf numFmtId="0" fontId="30" fillId="0" borderId="17" xfId="0" applyFont="1" applyBorder="1" applyAlignment="1">
      <alignment vertical="center" wrapText="1"/>
    </xf>
    <xf numFmtId="0" fontId="31" fillId="0" borderId="17" xfId="0" applyFont="1" applyBorder="1" applyAlignment="1">
      <alignment vertical="center" wrapText="1"/>
    </xf>
    <xf numFmtId="0" fontId="32" fillId="0" borderId="17" xfId="0" applyFont="1" applyBorder="1" applyAlignment="1">
      <alignment horizontal="left" wrapText="1"/>
    </xf>
    <xf numFmtId="0" fontId="0" fillId="0" borderId="0" xfId="0" applyAlignment="1">
      <alignment horizontal="left" vertical="top"/>
    </xf>
    <xf numFmtId="0" fontId="30" fillId="0" borderId="22" xfId="0" applyFont="1" applyBorder="1" applyAlignment="1">
      <alignment horizontal="center" vertical="center"/>
    </xf>
    <xf numFmtId="0" fontId="27" fillId="3" borderId="0" xfId="0" applyFont="1" applyFill="1"/>
    <xf numFmtId="0" fontId="34" fillId="3" borderId="19" xfId="0" applyFont="1" applyFill="1" applyBorder="1"/>
    <xf numFmtId="0" fontId="34" fillId="3" borderId="20" xfId="0" applyFont="1" applyFill="1" applyBorder="1" applyAlignment="1">
      <alignment wrapText="1"/>
    </xf>
    <xf numFmtId="0" fontId="34" fillId="3" borderId="20" xfId="0" applyFont="1" applyFill="1" applyBorder="1" applyAlignment="1">
      <alignment horizontal="center"/>
    </xf>
    <xf numFmtId="0" fontId="34" fillId="3" borderId="21" xfId="0" applyFont="1" applyFill="1" applyBorder="1" applyAlignment="1">
      <alignment horizontal="center"/>
    </xf>
    <xf numFmtId="0" fontId="30" fillId="5" borderId="22" xfId="0" applyFont="1" applyFill="1" applyBorder="1" applyAlignment="1">
      <alignment horizontal="center" vertical="center"/>
    </xf>
    <xf numFmtId="0" fontId="30" fillId="5" borderId="17" xfId="0" applyFont="1" applyFill="1" applyBorder="1" applyAlignment="1">
      <alignment vertical="center" wrapText="1"/>
    </xf>
    <xf numFmtId="0" fontId="0" fillId="5" borderId="0" xfId="0" applyFill="1"/>
    <xf numFmtId="0" fontId="30" fillId="5" borderId="23" xfId="0" applyFont="1" applyFill="1" applyBorder="1" applyAlignment="1">
      <alignment horizontal="center" vertical="center"/>
    </xf>
    <xf numFmtId="0" fontId="30" fillId="5" borderId="18" xfId="0" applyFont="1" applyFill="1" applyBorder="1" applyAlignment="1">
      <alignment vertical="center" wrapText="1"/>
    </xf>
    <xf numFmtId="0" fontId="0" fillId="0" borderId="3" xfId="0" applyBorder="1"/>
    <xf numFmtId="0" fontId="27" fillId="3" borderId="3" xfId="0" applyFont="1" applyFill="1" applyBorder="1"/>
    <xf numFmtId="0" fontId="34" fillId="3" borderId="3" xfId="0" applyFont="1" applyFill="1" applyBorder="1" applyAlignment="1">
      <alignment horizontal="center"/>
    </xf>
    <xf numFmtId="0" fontId="30" fillId="0" borderId="3" xfId="0" applyFont="1" applyBorder="1" applyAlignment="1">
      <alignment horizontal="center" vertical="center"/>
    </xf>
    <xf numFmtId="0" fontId="7" fillId="0" borderId="24" xfId="0" applyFont="1" applyBorder="1" applyAlignment="1">
      <alignment horizontal="centerContinuous" vertical="center"/>
    </xf>
    <xf numFmtId="0" fontId="4" fillId="0" borderId="14" xfId="0" applyFont="1" applyBorder="1" applyAlignment="1">
      <alignment horizontal="left" vertical="center"/>
    </xf>
    <xf numFmtId="0" fontId="2" fillId="0" borderId="13" xfId="0" applyFont="1" applyBorder="1"/>
    <xf numFmtId="0" fontId="2" fillId="0" borderId="3" xfId="0" applyFont="1" applyBorder="1"/>
    <xf numFmtId="0" fontId="4" fillId="0" borderId="14" xfId="0" applyFont="1" applyBorder="1"/>
    <xf numFmtId="0" fontId="4" fillId="0" borderId="14" xfId="0" applyFont="1" applyBorder="1" applyAlignment="1">
      <alignment vertical="center"/>
    </xf>
    <xf numFmtId="0" fontId="1" fillId="0" borderId="14" xfId="0" applyFont="1" applyBorder="1" applyAlignment="1">
      <alignment vertical="center"/>
    </xf>
    <xf numFmtId="0" fontId="7" fillId="0" borderId="14" xfId="0" applyFont="1" applyBorder="1" applyAlignment="1">
      <alignment horizontal="left" vertical="center"/>
    </xf>
    <xf numFmtId="0" fontId="8" fillId="0" borderId="6" xfId="0" applyFont="1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13" fillId="2" borderId="0" xfId="0" applyFont="1" applyFill="1"/>
    <xf numFmtId="0" fontId="14" fillId="2" borderId="0" xfId="0" applyFont="1" applyFill="1"/>
    <xf numFmtId="0" fontId="31" fillId="5" borderId="18" xfId="0" applyFont="1" applyFill="1" applyBorder="1" applyAlignment="1">
      <alignment vertical="center" wrapText="1"/>
    </xf>
    <xf numFmtId="0" fontId="30" fillId="0" borderId="0" xfId="0" applyFont="1" applyAlignment="1">
      <alignment horizontal="center" vertical="center"/>
    </xf>
    <xf numFmtId="0" fontId="30" fillId="0" borderId="23" xfId="0" applyFont="1" applyBorder="1" applyAlignment="1">
      <alignment horizontal="center" vertical="center"/>
    </xf>
    <xf numFmtId="0" fontId="30" fillId="0" borderId="18" xfId="0" applyFont="1" applyBorder="1" applyAlignment="1">
      <alignment vertical="center" wrapText="1"/>
    </xf>
    <xf numFmtId="0" fontId="31" fillId="5" borderId="17" xfId="0" applyFont="1" applyFill="1" applyBorder="1" applyAlignment="1">
      <alignment vertical="center" wrapText="1"/>
    </xf>
    <xf numFmtId="0" fontId="30" fillId="5" borderId="3" xfId="0" applyFont="1" applyFill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33" fillId="0" borderId="0" xfId="0" applyFont="1" applyAlignment="1">
      <alignment horizontal="left" vertical="center"/>
    </xf>
    <xf numFmtId="0" fontId="2" fillId="0" borderId="8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8" fillId="0" borderId="9" xfId="0" applyFont="1" applyBorder="1" applyAlignment="1">
      <alignment horizontal="centerContinuous"/>
    </xf>
    <xf numFmtId="0" fontId="36" fillId="6" borderId="17" xfId="0" applyFont="1" applyFill="1" applyBorder="1" applyAlignment="1">
      <alignment horizontal="center" vertical="center"/>
    </xf>
    <xf numFmtId="0" fontId="36" fillId="7" borderId="17" xfId="0" applyFont="1" applyFill="1" applyBorder="1" applyAlignment="1">
      <alignment horizontal="center" vertical="center"/>
    </xf>
    <xf numFmtId="0" fontId="36" fillId="6" borderId="17" xfId="0" applyFont="1" applyFill="1" applyBorder="1" applyAlignment="1">
      <alignment horizontal="left" vertical="center"/>
    </xf>
    <xf numFmtId="0" fontId="37" fillId="7" borderId="17" xfId="0" applyFont="1" applyFill="1" applyBorder="1" applyAlignment="1">
      <alignment horizontal="center" vertical="center"/>
    </xf>
    <xf numFmtId="0" fontId="31" fillId="6" borderId="25" xfId="0" applyFont="1" applyFill="1" applyBorder="1" applyAlignment="1">
      <alignment horizontal="center" vertical="center"/>
    </xf>
    <xf numFmtId="0" fontId="31" fillId="7" borderId="25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vertical="center"/>
    </xf>
    <xf numFmtId="0" fontId="9" fillId="8" borderId="5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1" xfId="0" applyFont="1" applyFill="1" applyBorder="1" applyAlignment="1">
      <alignment vertical="center"/>
    </xf>
    <xf numFmtId="0" fontId="16" fillId="0" borderId="9" xfId="0" applyFont="1" applyBorder="1"/>
    <xf numFmtId="0" fontId="35" fillId="0" borderId="1" xfId="0" applyFont="1" applyBorder="1" applyAlignment="1">
      <alignment horizontal="center" vertical="center"/>
    </xf>
    <xf numFmtId="0" fontId="7" fillId="0" borderId="24" xfId="0" applyFont="1" applyBorder="1" applyAlignment="1">
      <alignment horizontal="left" vertical="center"/>
    </xf>
    <xf numFmtId="0" fontId="8" fillId="0" borderId="24" xfId="0" applyFont="1" applyBorder="1" applyAlignment="1">
      <alignment horizontal="left" vertical="center"/>
    </xf>
    <xf numFmtId="0" fontId="8" fillId="0" borderId="14" xfId="0" applyFont="1" applyBorder="1" applyAlignment="1">
      <alignment horizontal="left" vertical="center"/>
    </xf>
    <xf numFmtId="0" fontId="9" fillId="0" borderId="24" xfId="0" applyFont="1" applyBorder="1" applyAlignment="1">
      <alignment vertical="center"/>
    </xf>
    <xf numFmtId="0" fontId="7" fillId="0" borderId="24" xfId="0" applyFont="1" applyBorder="1" applyAlignment="1">
      <alignment vertical="center"/>
    </xf>
    <xf numFmtId="164" fontId="13" fillId="2" borderId="0" xfId="0" applyNumberFormat="1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7" fillId="0" borderId="11" xfId="0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164" fontId="4" fillId="0" borderId="14" xfId="0" applyNumberFormat="1" applyFont="1" applyBorder="1" applyAlignment="1">
      <alignment horizontal="right" vertical="center"/>
    </xf>
    <xf numFmtId="164" fontId="4" fillId="0" borderId="7" xfId="0" applyNumberFormat="1" applyFont="1" applyBorder="1" applyAlignment="1">
      <alignment horizontal="right"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" fillId="0" borderId="14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4" fillId="0" borderId="14" xfId="0" applyFont="1" applyBorder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FF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0]!Picture1_Click"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8813" y="19259"/>
          <a:ext cx="849312" cy="8679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0</xdr:rowOff>
    </xdr:from>
    <xdr:to>
      <xdr:col>6</xdr:col>
      <xdr:colOff>962025</xdr:colOff>
      <xdr:row>4</xdr:row>
      <xdr:rowOff>76200</xdr:rowOff>
    </xdr:to>
    <xdr:pic>
      <xdr:nvPicPr>
        <xdr:cNvPr id="4" name="Picture 1" descr="seplogo nw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0"/>
          <a:ext cx="904875" cy="942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31" name="Picture 3">
          <a:extLst>
            <a:ext uri="{FF2B5EF4-FFF2-40B4-BE49-F238E27FC236}">
              <a16:creationId xmlns:a16="http://schemas.microsoft.com/office/drawing/2014/main" id="{00000000-0008-0000-02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56ABEAE-4520-49DA-8BBF-18A9731D9FF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85EE538F-38B4-4157-A152-872EFC8A30C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BFEE486-73BA-D760-8E23-9E109D4EC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055" name="Picture 3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70844B7-86D5-4EF7-AC3D-2A55698E4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53ADF930-AB5A-4F88-91BA-4F95FACF363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DEED50-32F6-4322-A498-4B54E1C1C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3079" name="Picture 3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89427A-B5A6-485B-A4C3-724DCEA6E9E5}"/>
            </a:ext>
          </a:extLst>
        </xdr:cNvPr>
        <xdr:cNvSpPr/>
      </xdr:nvSpPr>
      <xdr:spPr bwMode="auto">
        <a:xfrm>
          <a:off x="354584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7CE81361-65E9-44CB-B0D8-57E079938D0A}"/>
            </a:ext>
          </a:extLst>
        </xdr:cNvPr>
        <xdr:cNvSpPr/>
      </xdr:nvSpPr>
      <xdr:spPr bwMode="auto">
        <a:xfrm>
          <a:off x="369062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AB35E08-B929-4993-B71E-633627C05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19760" cy="6197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4103" name="Picture 3">
          <a:extLst>
            <a:ext uri="{FF2B5EF4-FFF2-40B4-BE49-F238E27FC236}">
              <a16:creationId xmlns:a16="http://schemas.microsoft.com/office/drawing/2014/main" id="{00000000-0008-0000-0500-00000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47CFC8-8271-46D2-922F-4E5309F6A61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426CF3E-5D5D-4A2B-B6EC-FEF2A11025C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1EA184-D7C4-4F88-9EEB-FEBC5CE30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5127" name="Picture 3">
          <a:extLst>
            <a:ext uri="{FF2B5EF4-FFF2-40B4-BE49-F238E27FC236}">
              <a16:creationId xmlns:a16="http://schemas.microsoft.com/office/drawing/2014/main" id="{00000000-0008-0000-0600-00000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64EC58C-EE56-4FDD-81D4-6D6DBE8DFF6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3AD47B4-3E63-453D-AF38-E7716F76E44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D634BBE-8BCE-47CD-8622-52A7F2F3B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6151" name="Picture 3">
          <a:extLst>
            <a:ext uri="{FF2B5EF4-FFF2-40B4-BE49-F238E27FC236}">
              <a16:creationId xmlns:a16="http://schemas.microsoft.com/office/drawing/2014/main" id="{00000000-0008-0000-0700-00000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92127FF-605E-4896-9D8F-94A628288CD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66AF72F-E018-493C-A275-C3CA01D2A35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074003-03B0-4DD4-82F0-BEC9E25DD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7176" name="Picture 3">
          <a:extLst>
            <a:ext uri="{FF2B5EF4-FFF2-40B4-BE49-F238E27FC236}">
              <a16:creationId xmlns:a16="http://schemas.microsoft.com/office/drawing/2014/main" id="{00000000-0008-0000-0800-00000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52CAC8B-072A-4DE5-93FA-96CBED3C9CC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440BD1C9-E9C6-4D4B-9480-9A59CDEC619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11ADB2-6EAD-4182-8708-F5FB3C0FD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8199" name="Picture 3">
          <a:extLst>
            <a:ext uri="{FF2B5EF4-FFF2-40B4-BE49-F238E27FC236}">
              <a16:creationId xmlns:a16="http://schemas.microsoft.com/office/drawing/2014/main" id="{00000000-0008-0000-0900-00000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2CDDD61-F401-4608-A719-56C6E3BF4E9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227315-297C-4178-9AB4-60FDB2D4AB9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F76C958-F3A5-4631-AD40-E9EE38EA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9224" name="Picture 3">
          <a:extLst>
            <a:ext uri="{FF2B5EF4-FFF2-40B4-BE49-F238E27FC236}">
              <a16:creationId xmlns:a16="http://schemas.microsoft.com/office/drawing/2014/main" id="{00000000-0008-0000-0A00-00000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126A06C-A7DB-4EE2-86E5-77813789E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AC30DCDB-936D-426C-919A-E3C9CDEB97B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E8D5BB7-E3FA-4884-B376-EDD4CF210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247" name="Picture 3">
          <a:extLst>
            <a:ext uri="{FF2B5EF4-FFF2-40B4-BE49-F238E27FC236}">
              <a16:creationId xmlns:a16="http://schemas.microsoft.com/office/drawing/2014/main" id="{00000000-0008-0000-0B00-000007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E10172D-08C8-48DB-8AF6-1D72E565CF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73ED76E-70D0-469C-8D93-FE98065BBD9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9D99099-29E6-427A-98E3-078878518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1271" name="Picture 3">
          <a:extLst>
            <a:ext uri="{FF2B5EF4-FFF2-40B4-BE49-F238E27FC236}">
              <a16:creationId xmlns:a16="http://schemas.microsoft.com/office/drawing/2014/main" id="{00000000-0008-0000-0C00-000007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742E5C6-B8E5-4CCC-84A4-02C09E2EA1E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83502A7-B8D1-4365-9874-B9EADF3D1F3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A21FD-1A66-496C-9701-8D9E23199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2295" name="Picture 3">
          <a:extLst>
            <a:ext uri="{FF2B5EF4-FFF2-40B4-BE49-F238E27FC236}">
              <a16:creationId xmlns:a16="http://schemas.microsoft.com/office/drawing/2014/main" id="{00000000-0008-0000-0D00-000007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99DB0E5-F752-4E34-8784-C24BA80DC3E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795977-9C65-49A6-BF8A-26BB1B5083D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47268D-8E06-4DE2-8E4A-CF69569C0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3319" name="Picture 3">
          <a:extLst>
            <a:ext uri="{FF2B5EF4-FFF2-40B4-BE49-F238E27FC236}">
              <a16:creationId xmlns:a16="http://schemas.microsoft.com/office/drawing/2014/main" id="{00000000-0008-0000-0E00-000007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AAE3325-8707-401A-9299-A71034321CA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542D95C-48D2-45A4-952E-E0C895A231C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F805932-4E74-401F-93A3-C58DAE93D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4343" name="Picture 3">
          <a:extLst>
            <a:ext uri="{FF2B5EF4-FFF2-40B4-BE49-F238E27FC236}">
              <a16:creationId xmlns:a16="http://schemas.microsoft.com/office/drawing/2014/main" id="{00000000-0008-0000-0F00-000007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E8723A-95B9-45E8-991F-0C09EB37738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7194558-3F2C-47B7-994B-6B221108CE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EFD6355-3F9A-4204-A43A-FF5E0864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5367" name="Picture 3">
          <a:extLst>
            <a:ext uri="{FF2B5EF4-FFF2-40B4-BE49-F238E27FC236}">
              <a16:creationId xmlns:a16="http://schemas.microsoft.com/office/drawing/2014/main" id="{00000000-0008-0000-1000-000007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06B0E4-CC30-49F7-A3B6-18F04C62DC8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89A3473-47AB-4668-AB3B-204BD0F78D6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A14E6A-2D2E-4A93-A703-D02021ACB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6391" name="Picture 3">
          <a:extLst>
            <a:ext uri="{FF2B5EF4-FFF2-40B4-BE49-F238E27FC236}">
              <a16:creationId xmlns:a16="http://schemas.microsoft.com/office/drawing/2014/main" id="{00000000-0008-0000-1100-000007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3AE7AA-AA6D-423A-B13C-2238866DD9F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D104C46-A7AD-4299-B7D0-916AF772D7D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749099-2732-4FD9-A13B-123B99FCD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7415" name="Picture 3">
          <a:extLst>
            <a:ext uri="{FF2B5EF4-FFF2-40B4-BE49-F238E27FC236}">
              <a16:creationId xmlns:a16="http://schemas.microsoft.com/office/drawing/2014/main" id="{00000000-0008-0000-1200-000007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ACDD73-F84D-4806-9A40-3000FEAEF2A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55F0394-059A-4C9B-95F9-D03B54BE559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18B0036-CFDF-4228-A15B-F5DD8451D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BF989B-E140-43B2-AD86-915BE0019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10F452-585B-4F33-BA1F-42FA28A9967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D61FF54-92C9-43E8-BD29-6D403C4DEC8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6F728FC-2A00-4200-A2C0-96997C107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BFABE0-BF18-431B-A432-A1572CA8C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03BAF3-56C1-46F9-840A-54BDC772C57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2763FC5-6348-4BF0-AEF9-3BAC56ED910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9303A46-0B8C-4C26-8467-4D1C36E39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775C7DD-9FFC-4C47-BCE6-18F6A4987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4CE8D4-DB5B-4846-9EED-858D1643673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7B91F79-7283-4585-9E17-BD4C15BB6AB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5D295B9-7BC3-4A65-BA5A-E30AB900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06F9013-D833-4C05-B7A7-38EBE9917C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6F4FE6-1AAC-472C-8B6A-57F59CC854F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344B23F-BFA5-48B8-A397-E1812CB684B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2942CE-304E-42CB-B6A1-3E38DDC6E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7B40352-AACE-48EE-8FFC-4FB7C489A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23ACCD1-4940-499D-B16B-18EA1B85E13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8BF1909-26B3-425E-944F-34D7C1CF97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E342B8C-E519-473B-8188-727F74461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FD8E5AD-869D-46FA-A049-89627B5CA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A71D3E-C7DD-4566-B722-79947870132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E61DDC5-D6DC-4FBC-83AF-B705CB43E4E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4C35D6-E87D-41BE-9D94-8A5FED10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D610CA-A3A0-43F9-A073-F5EA9DB59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3B5610E-2779-4D26-8C6A-DD4C377F4C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1B3D2CE-1AFB-444B-9C77-F6877AEC09A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21118D-733A-4D71-B107-420039EAD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0B8E02F-19BF-4C58-8EDC-BD7491A28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79EE47-1FCB-4493-8693-F26D4F3168E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FC02DAD-C62E-407B-B325-E550FF5DD87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3BA4610-2EB4-41CC-8B39-7CBC3C8E3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3C5D3CE-BCE6-4B4B-88C0-1A65C0A6F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7771B-FADC-44EC-9BB9-60D72A0C6B7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43D5FB6-3347-4B7E-B3EB-E8A2B3EF54D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CA9392-C1A1-46DE-B219-AF3C662B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79919C9-FDEA-4F00-B1F7-911EC68B73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3529" y="0"/>
          <a:ext cx="952433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D68B03-4F2D-4EF7-8986-F0FD75BE35C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FA28E17-82C7-4C09-A35E-9DF36704CAE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259080</xdr:colOff>
      <xdr:row>4</xdr:row>
      <xdr:rowOff>102082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C2312E8-9D2D-406C-8E95-9899F4A92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E57669BE-6456-4AE4-AB33-DF643C61B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70617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F3E0BE7-4955-492A-8716-E33D5E30E4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6871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3E1BD12-55CF-434A-B9F6-1EA3775E9C1B}"/>
            </a:ext>
          </a:extLst>
        </xdr:cNvPr>
        <xdr:cNvSpPr/>
      </xdr:nvSpPr>
      <xdr:spPr bwMode="auto">
        <a:xfrm>
          <a:off x="3532414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179C42E-8F6F-4202-A252-DB8A1132EA27}"/>
            </a:ext>
          </a:extLst>
        </xdr:cNvPr>
        <xdr:cNvSpPr/>
      </xdr:nvSpPr>
      <xdr:spPr bwMode="auto">
        <a:xfrm>
          <a:off x="3677194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262618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5429A1-CF80-4E18-B43C-F04C8016F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0214" cy="6202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3:V69"/>
  <sheetViews>
    <sheetView topLeftCell="A17" zoomScale="96" zoomScaleNormal="96" workbookViewId="0">
      <selection activeCell="V50" sqref="V50"/>
    </sheetView>
  </sheetViews>
  <sheetFormatPr defaultColWidth="9.140625" defaultRowHeight="12.75" x14ac:dyDescent="0.2"/>
  <cols>
    <col min="1" max="2" width="9.140625" style="2"/>
    <col min="3" max="3" width="4.7109375" style="2" customWidth="1"/>
    <col min="4" max="4" width="9.140625" style="2"/>
    <col min="5" max="5" width="4.7109375" style="2" customWidth="1"/>
    <col min="6" max="6" width="9.140625" style="2"/>
    <col min="7" max="7" width="4.7109375" style="2" customWidth="1"/>
    <col min="8" max="8" width="9.140625" style="2"/>
    <col min="9" max="9" width="4.7109375" style="2" customWidth="1"/>
    <col min="10" max="10" width="9.140625" style="2"/>
    <col min="11" max="11" width="4.7109375" style="2" customWidth="1"/>
    <col min="12" max="12" width="9.140625" style="2"/>
    <col min="13" max="13" width="4.7109375" style="2" customWidth="1"/>
    <col min="14" max="14" width="9.140625" style="2"/>
    <col min="15" max="15" width="4.7109375" style="2" customWidth="1"/>
    <col min="16" max="16" width="9.140625" style="2"/>
    <col min="17" max="17" width="4.7109375" style="2" customWidth="1"/>
    <col min="18" max="18" width="9.140625" style="2"/>
    <col min="19" max="19" width="4.7109375" style="2" customWidth="1"/>
    <col min="20" max="16384" width="9.140625" style="2"/>
  </cols>
  <sheetData>
    <row r="3" spans="2:19" ht="18" x14ac:dyDescent="0.25">
      <c r="B3" s="185" t="s">
        <v>0</v>
      </c>
      <c r="C3" s="186"/>
      <c r="D3" s="217">
        <v>46113</v>
      </c>
      <c r="E3" s="217"/>
      <c r="F3" s="217"/>
    </row>
    <row r="4" spans="2:19" x14ac:dyDescent="0.2">
      <c r="B4" s="69"/>
      <c r="D4" s="70"/>
      <c r="E4" s="70"/>
    </row>
    <row r="6" spans="2:19" x14ac:dyDescent="0.2">
      <c r="B6" s="71" t="s">
        <v>1</v>
      </c>
      <c r="C6" s="72" t="s">
        <v>2</v>
      </c>
      <c r="D6" s="71" t="s">
        <v>1</v>
      </c>
      <c r="E6" s="72" t="s">
        <v>3</v>
      </c>
      <c r="F6" s="71" t="s">
        <v>1</v>
      </c>
      <c r="G6" s="72" t="s">
        <v>4</v>
      </c>
      <c r="H6" s="71" t="s">
        <v>1</v>
      </c>
      <c r="I6" s="72" t="s">
        <v>5</v>
      </c>
      <c r="J6" s="71" t="s">
        <v>1</v>
      </c>
      <c r="K6" s="72" t="s">
        <v>6</v>
      </c>
      <c r="L6" s="71" t="s">
        <v>1</v>
      </c>
      <c r="M6" s="72" t="s">
        <v>7</v>
      </c>
      <c r="N6" s="71" t="s">
        <v>1</v>
      </c>
      <c r="O6" s="72" t="s">
        <v>8</v>
      </c>
      <c r="P6" s="71" t="s">
        <v>1</v>
      </c>
      <c r="Q6" s="72" t="s">
        <v>9</v>
      </c>
      <c r="R6" s="71" t="s">
        <v>1</v>
      </c>
      <c r="S6" s="72" t="s">
        <v>10</v>
      </c>
    </row>
    <row r="7" spans="2:19" x14ac:dyDescent="0.2">
      <c r="B7" s="73" t="s">
        <v>11</v>
      </c>
      <c r="C7" s="74">
        <v>1</v>
      </c>
      <c r="D7" s="73" t="s">
        <v>11</v>
      </c>
      <c r="E7" s="74">
        <v>2</v>
      </c>
      <c r="F7" s="73" t="s">
        <v>11</v>
      </c>
      <c r="G7" s="74">
        <v>3</v>
      </c>
      <c r="H7" s="73" t="s">
        <v>11</v>
      </c>
      <c r="I7" s="74">
        <v>4</v>
      </c>
      <c r="J7" s="73" t="s">
        <v>11</v>
      </c>
      <c r="K7" s="74">
        <v>5</v>
      </c>
      <c r="L7" s="73" t="s">
        <v>11</v>
      </c>
      <c r="M7" s="74">
        <v>6</v>
      </c>
      <c r="N7" s="73" t="s">
        <v>11</v>
      </c>
      <c r="O7" s="74">
        <v>7</v>
      </c>
      <c r="P7" s="73" t="s">
        <v>11</v>
      </c>
      <c r="Q7" s="74">
        <v>8</v>
      </c>
      <c r="R7" s="73" t="s">
        <v>11</v>
      </c>
      <c r="S7" s="74">
        <v>9</v>
      </c>
    </row>
    <row r="8" spans="2:19" x14ac:dyDescent="0.2">
      <c r="B8" s="56" t="s">
        <v>12</v>
      </c>
      <c r="C8" s="80"/>
      <c r="D8" s="56" t="s">
        <v>12</v>
      </c>
      <c r="E8" s="80"/>
      <c r="F8" s="56" t="s">
        <v>12</v>
      </c>
      <c r="G8" s="80"/>
      <c r="H8" s="56" t="s">
        <v>12</v>
      </c>
      <c r="I8" s="80"/>
      <c r="J8" s="56" t="s">
        <v>12</v>
      </c>
      <c r="K8" s="80"/>
      <c r="L8" s="56" t="s">
        <v>12</v>
      </c>
      <c r="M8" s="80"/>
      <c r="N8" s="56" t="s">
        <v>13</v>
      </c>
      <c r="O8" s="80"/>
      <c r="P8" s="56" t="s">
        <v>13</v>
      </c>
      <c r="Q8" s="80"/>
      <c r="R8" s="56" t="s">
        <v>14</v>
      </c>
      <c r="S8" s="80"/>
    </row>
    <row r="9" spans="2:19" x14ac:dyDescent="0.2">
      <c r="B9" s="75" t="s">
        <v>15</v>
      </c>
      <c r="C9" s="76"/>
      <c r="D9" s="75" t="s">
        <v>15</v>
      </c>
      <c r="E9" s="76"/>
      <c r="F9" s="75" t="s">
        <v>15</v>
      </c>
      <c r="G9" s="76"/>
      <c r="H9" s="75" t="s">
        <v>15</v>
      </c>
      <c r="I9" s="76"/>
      <c r="J9" s="75" t="s">
        <v>15</v>
      </c>
      <c r="K9" s="76"/>
      <c r="L9" s="75" t="s">
        <v>15</v>
      </c>
      <c r="M9" s="76"/>
      <c r="N9" s="75" t="s">
        <v>15</v>
      </c>
      <c r="O9" s="76"/>
      <c r="P9" s="75" t="s">
        <v>15</v>
      </c>
      <c r="Q9" s="76"/>
      <c r="R9" s="75" t="s">
        <v>15</v>
      </c>
      <c r="S9" s="76"/>
    </row>
    <row r="10" spans="2:19" x14ac:dyDescent="0.2">
      <c r="B10" s="57" t="s">
        <v>16</v>
      </c>
      <c r="C10" s="81"/>
      <c r="D10" s="57" t="s">
        <v>17</v>
      </c>
      <c r="E10" s="81"/>
      <c r="F10" s="57" t="s">
        <v>18</v>
      </c>
      <c r="G10" s="81"/>
      <c r="H10" s="57" t="s">
        <v>19</v>
      </c>
      <c r="I10" s="81"/>
      <c r="J10" s="57" t="s">
        <v>20</v>
      </c>
      <c r="K10" s="81"/>
      <c r="L10" s="57" t="s">
        <v>21</v>
      </c>
      <c r="M10" s="81"/>
      <c r="N10" s="57" t="s">
        <v>22</v>
      </c>
      <c r="O10" s="81"/>
      <c r="P10" s="57" t="s">
        <v>23</v>
      </c>
      <c r="Q10" s="81"/>
      <c r="R10" s="57" t="s">
        <v>24</v>
      </c>
      <c r="S10" s="81"/>
    </row>
    <row r="11" spans="2:19" x14ac:dyDescent="0.2">
      <c r="B11" s="57" t="s">
        <v>25</v>
      </c>
      <c r="C11" s="81"/>
      <c r="D11" s="57" t="s">
        <v>26</v>
      </c>
      <c r="E11" s="81"/>
      <c r="F11" s="57" t="s">
        <v>27</v>
      </c>
      <c r="G11" s="81"/>
      <c r="H11" s="57" t="s">
        <v>28</v>
      </c>
      <c r="I11" s="81"/>
      <c r="J11" s="57" t="s">
        <v>29</v>
      </c>
      <c r="K11" s="81"/>
      <c r="L11" s="57" t="s">
        <v>30</v>
      </c>
      <c r="M11" s="81"/>
      <c r="N11" s="57" t="s">
        <v>31</v>
      </c>
      <c r="O11" s="81"/>
      <c r="P11" s="57" t="s">
        <v>32</v>
      </c>
      <c r="Q11" s="81"/>
      <c r="R11" s="57" t="s">
        <v>33</v>
      </c>
      <c r="S11" s="81"/>
    </row>
    <row r="12" spans="2:19" x14ac:dyDescent="0.2">
      <c r="B12" s="57" t="s">
        <v>34</v>
      </c>
      <c r="C12" s="81"/>
      <c r="D12" s="57" t="s">
        <v>35</v>
      </c>
      <c r="E12" s="81"/>
      <c r="F12" s="57" t="s">
        <v>36</v>
      </c>
      <c r="G12" s="81"/>
      <c r="H12" s="57" t="s">
        <v>37</v>
      </c>
      <c r="I12" s="81"/>
      <c r="J12" s="57" t="s">
        <v>38</v>
      </c>
      <c r="K12" s="81"/>
      <c r="L12" s="57" t="s">
        <v>39</v>
      </c>
      <c r="M12" s="81"/>
      <c r="N12" s="57" t="s">
        <v>40</v>
      </c>
      <c r="O12" s="81"/>
      <c r="P12" s="57" t="s">
        <v>41</v>
      </c>
      <c r="Q12" s="81"/>
      <c r="R12" s="57" t="s">
        <v>42</v>
      </c>
      <c r="S12" s="81"/>
    </row>
    <row r="13" spans="2:19" x14ac:dyDescent="0.2">
      <c r="B13" s="57" t="s">
        <v>43</v>
      </c>
      <c r="C13" s="81"/>
      <c r="D13" s="57" t="s">
        <v>44</v>
      </c>
      <c r="E13" s="81"/>
      <c r="F13" s="57" t="s">
        <v>45</v>
      </c>
      <c r="G13" s="81"/>
      <c r="H13" s="57" t="s">
        <v>46</v>
      </c>
      <c r="I13" s="81"/>
      <c r="J13" s="57" t="s">
        <v>47</v>
      </c>
      <c r="K13" s="81"/>
      <c r="L13" s="57" t="s">
        <v>48</v>
      </c>
      <c r="M13" s="81"/>
      <c r="N13" s="57" t="s">
        <v>49</v>
      </c>
      <c r="O13" s="81"/>
      <c r="P13" s="57" t="s">
        <v>50</v>
      </c>
      <c r="Q13" s="81"/>
      <c r="R13" s="57" t="s">
        <v>51</v>
      </c>
      <c r="S13" s="81"/>
    </row>
    <row r="14" spans="2:19" x14ac:dyDescent="0.2">
      <c r="B14" s="57" t="s">
        <v>52</v>
      </c>
      <c r="C14" s="81"/>
      <c r="D14" s="57" t="s">
        <v>53</v>
      </c>
      <c r="E14" s="81"/>
      <c r="F14" s="57" t="s">
        <v>54</v>
      </c>
      <c r="G14" s="81"/>
      <c r="H14" s="57" t="s">
        <v>55</v>
      </c>
      <c r="I14" s="81"/>
      <c r="J14" s="57" t="s">
        <v>56</v>
      </c>
      <c r="K14" s="81"/>
      <c r="L14" s="57" t="s">
        <v>57</v>
      </c>
      <c r="M14" s="81"/>
      <c r="N14" s="57" t="s">
        <v>58</v>
      </c>
      <c r="O14" s="81"/>
      <c r="P14" s="57" t="s">
        <v>59</v>
      </c>
      <c r="Q14" s="81"/>
      <c r="R14" s="57" t="s">
        <v>60</v>
      </c>
      <c r="S14" s="81"/>
    </row>
    <row r="15" spans="2:19" x14ac:dyDescent="0.2">
      <c r="B15" s="57" t="s">
        <v>61</v>
      </c>
      <c r="C15" s="81"/>
      <c r="D15" s="57" t="s">
        <v>62</v>
      </c>
      <c r="E15" s="81"/>
      <c r="F15" s="57" t="s">
        <v>63</v>
      </c>
      <c r="G15" s="81"/>
      <c r="H15" s="57" t="s">
        <v>64</v>
      </c>
      <c r="I15" s="81"/>
      <c r="J15" s="57" t="s">
        <v>65</v>
      </c>
      <c r="K15" s="81"/>
      <c r="L15" s="57" t="s">
        <v>66</v>
      </c>
      <c r="M15" s="81"/>
      <c r="N15" s="57" t="s">
        <v>67</v>
      </c>
      <c r="O15" s="81"/>
      <c r="P15" s="57" t="s">
        <v>68</v>
      </c>
      <c r="Q15" s="81"/>
      <c r="R15" s="57" t="s">
        <v>69</v>
      </c>
      <c r="S15" s="81"/>
    </row>
    <row r="16" spans="2:19" x14ac:dyDescent="0.2">
      <c r="B16" s="57" t="s">
        <v>70</v>
      </c>
      <c r="C16" s="81"/>
      <c r="D16" s="57" t="s">
        <v>71</v>
      </c>
      <c r="E16" s="81"/>
      <c r="F16" s="57" t="s">
        <v>72</v>
      </c>
      <c r="G16" s="81"/>
      <c r="H16" s="57" t="s">
        <v>73</v>
      </c>
      <c r="I16" s="81"/>
      <c r="J16" s="57" t="s">
        <v>74</v>
      </c>
      <c r="K16" s="81"/>
      <c r="L16" s="57" t="s">
        <v>75</v>
      </c>
      <c r="M16" s="81"/>
      <c r="N16" s="57" t="s">
        <v>76</v>
      </c>
      <c r="O16" s="81"/>
      <c r="P16" s="57" t="s">
        <v>77</v>
      </c>
      <c r="Q16" s="81"/>
      <c r="R16" s="57" t="s">
        <v>78</v>
      </c>
      <c r="S16" s="81"/>
    </row>
    <row r="17" spans="2:22" x14ac:dyDescent="0.2">
      <c r="B17" s="57" t="s">
        <v>79</v>
      </c>
      <c r="C17" s="81"/>
      <c r="D17" s="57"/>
      <c r="E17" s="81"/>
      <c r="F17" s="57"/>
      <c r="G17" s="81"/>
      <c r="H17" s="57"/>
      <c r="I17" s="81"/>
      <c r="J17" s="57"/>
      <c r="K17" s="81"/>
      <c r="L17" s="57"/>
      <c r="M17" s="81"/>
      <c r="N17" s="57"/>
      <c r="O17" s="81"/>
      <c r="P17" s="57"/>
      <c r="Q17" s="81"/>
      <c r="R17" s="57" t="s">
        <v>80</v>
      </c>
      <c r="S17" s="81"/>
    </row>
    <row r="18" spans="2:22" x14ac:dyDescent="0.2"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</row>
    <row r="20" spans="2:22" x14ac:dyDescent="0.2">
      <c r="B20" s="71" t="s">
        <v>1</v>
      </c>
      <c r="C20" s="72" t="s">
        <v>81</v>
      </c>
      <c r="D20" s="71" t="s">
        <v>1</v>
      </c>
      <c r="E20" s="72" t="s">
        <v>82</v>
      </c>
      <c r="F20" s="71" t="s">
        <v>1</v>
      </c>
      <c r="G20" s="72" t="s">
        <v>83</v>
      </c>
      <c r="H20" s="71" t="s">
        <v>1</v>
      </c>
      <c r="I20" s="72" t="s">
        <v>84</v>
      </c>
      <c r="J20" s="71" t="s">
        <v>1</v>
      </c>
      <c r="K20" s="72" t="s">
        <v>85</v>
      </c>
      <c r="L20" s="71" t="s">
        <v>1</v>
      </c>
      <c r="M20" s="72" t="s">
        <v>86</v>
      </c>
      <c r="N20" s="71" t="s">
        <v>1</v>
      </c>
      <c r="O20" s="72" t="s">
        <v>87</v>
      </c>
      <c r="P20" s="71" t="s">
        <v>1</v>
      </c>
      <c r="Q20" s="72" t="s">
        <v>88</v>
      </c>
      <c r="R20" s="71" t="s">
        <v>1</v>
      </c>
      <c r="S20" s="72" t="s">
        <v>89</v>
      </c>
    </row>
    <row r="21" spans="2:22" x14ac:dyDescent="0.2">
      <c r="B21" s="73" t="s">
        <v>11</v>
      </c>
      <c r="C21" s="74">
        <v>10</v>
      </c>
      <c r="D21" s="73" t="s">
        <v>11</v>
      </c>
      <c r="E21" s="74">
        <v>11</v>
      </c>
      <c r="F21" s="73" t="s">
        <v>11</v>
      </c>
      <c r="G21" s="74">
        <v>12</v>
      </c>
      <c r="H21" s="73" t="s">
        <v>11</v>
      </c>
      <c r="I21" s="74">
        <v>13</v>
      </c>
      <c r="J21" s="73" t="s">
        <v>11</v>
      </c>
      <c r="K21" s="74">
        <v>14</v>
      </c>
      <c r="L21" s="73" t="s">
        <v>11</v>
      </c>
      <c r="M21" s="74">
        <v>15</v>
      </c>
      <c r="N21" s="73" t="s">
        <v>11</v>
      </c>
      <c r="O21" s="74">
        <v>16</v>
      </c>
      <c r="P21" s="73" t="s">
        <v>11</v>
      </c>
      <c r="Q21" s="74">
        <v>17</v>
      </c>
      <c r="R21" s="73" t="s">
        <v>11</v>
      </c>
      <c r="S21" s="74">
        <v>18</v>
      </c>
    </row>
    <row r="22" spans="2:22" x14ac:dyDescent="0.2">
      <c r="B22" s="56" t="s">
        <v>14</v>
      </c>
      <c r="C22" s="80"/>
      <c r="D22" s="56" t="s">
        <v>14</v>
      </c>
      <c r="E22" s="80"/>
      <c r="F22" s="56" t="s">
        <v>14</v>
      </c>
      <c r="G22" s="80"/>
      <c r="H22" s="56" t="s">
        <v>14</v>
      </c>
      <c r="I22" s="80"/>
      <c r="J22" s="56" t="s">
        <v>14</v>
      </c>
      <c r="K22" s="80"/>
      <c r="L22" s="56" t="s">
        <v>14</v>
      </c>
      <c r="M22" s="80"/>
      <c r="N22" s="56" t="s">
        <v>14</v>
      </c>
      <c r="O22" s="80"/>
      <c r="P22" s="56" t="s">
        <v>14</v>
      </c>
      <c r="Q22" s="80"/>
      <c r="R22" s="56" t="s">
        <v>14</v>
      </c>
      <c r="S22" s="80"/>
    </row>
    <row r="23" spans="2:22" x14ac:dyDescent="0.2">
      <c r="B23" s="75" t="s">
        <v>15</v>
      </c>
      <c r="C23" s="76"/>
      <c r="D23" s="75" t="s">
        <v>15</v>
      </c>
      <c r="E23" s="76"/>
      <c r="F23" s="75" t="s">
        <v>15</v>
      </c>
      <c r="G23" s="76"/>
      <c r="H23" s="75" t="s">
        <v>15</v>
      </c>
      <c r="I23" s="76"/>
      <c r="J23" s="75" t="s">
        <v>15</v>
      </c>
      <c r="K23" s="76"/>
      <c r="L23" s="75" t="s">
        <v>15</v>
      </c>
      <c r="M23" s="76"/>
      <c r="N23" s="75" t="s">
        <v>15</v>
      </c>
      <c r="O23" s="76"/>
      <c r="P23" s="75" t="s">
        <v>15</v>
      </c>
      <c r="Q23" s="76"/>
      <c r="R23" s="75" t="s">
        <v>15</v>
      </c>
      <c r="S23" s="76"/>
    </row>
    <row r="24" spans="2:22" x14ac:dyDescent="0.2">
      <c r="B24" s="57" t="s">
        <v>90</v>
      </c>
      <c r="C24" s="81"/>
      <c r="D24" s="57" t="s">
        <v>91</v>
      </c>
      <c r="E24" s="81"/>
      <c r="F24" s="57" t="s">
        <v>92</v>
      </c>
      <c r="G24" s="81"/>
      <c r="H24" s="57" t="s">
        <v>93</v>
      </c>
      <c r="I24" s="81"/>
      <c r="J24" s="57" t="s">
        <v>94</v>
      </c>
      <c r="K24" s="81"/>
      <c r="L24" s="57" t="s">
        <v>95</v>
      </c>
      <c r="M24" s="81"/>
      <c r="N24" s="57" t="s">
        <v>96</v>
      </c>
      <c r="O24" s="81"/>
      <c r="P24" s="57" t="s">
        <v>97</v>
      </c>
      <c r="Q24" s="81"/>
      <c r="R24" s="56" t="s">
        <v>98</v>
      </c>
      <c r="S24" s="102"/>
    </row>
    <row r="25" spans="2:22" x14ac:dyDescent="0.2">
      <c r="B25" s="57" t="s">
        <v>99</v>
      </c>
      <c r="C25" s="81"/>
      <c r="D25" s="57" t="s">
        <v>100</v>
      </c>
      <c r="E25" s="81"/>
      <c r="F25" s="57" t="s">
        <v>101</v>
      </c>
      <c r="G25" s="81"/>
      <c r="H25" s="57" t="s">
        <v>102</v>
      </c>
      <c r="I25" s="81"/>
      <c r="J25" s="57" t="s">
        <v>103</v>
      </c>
      <c r="K25" s="81"/>
      <c r="L25" s="57" t="s">
        <v>104</v>
      </c>
      <c r="M25" s="81"/>
      <c r="N25" s="57" t="s">
        <v>105</v>
      </c>
      <c r="O25" s="81"/>
      <c r="P25" s="57" t="s">
        <v>106</v>
      </c>
      <c r="Q25" s="81"/>
      <c r="R25" s="57" t="s">
        <v>107</v>
      </c>
      <c r="S25" s="81"/>
    </row>
    <row r="26" spans="2:22" x14ac:dyDescent="0.2">
      <c r="B26" s="57" t="s">
        <v>108</v>
      </c>
      <c r="C26" s="81"/>
      <c r="D26" s="57" t="s">
        <v>109</v>
      </c>
      <c r="E26" s="81"/>
      <c r="F26" s="57" t="s">
        <v>110</v>
      </c>
      <c r="G26" s="81"/>
      <c r="H26" s="57" t="s">
        <v>111</v>
      </c>
      <c r="I26" s="81"/>
      <c r="J26" s="57" t="s">
        <v>112</v>
      </c>
      <c r="K26" s="81"/>
      <c r="L26" s="57" t="s">
        <v>113</v>
      </c>
      <c r="M26" s="81"/>
      <c r="N26" s="57" t="s">
        <v>114</v>
      </c>
      <c r="O26" s="81"/>
      <c r="P26" s="57" t="s">
        <v>115</v>
      </c>
      <c r="Q26" s="81"/>
      <c r="R26" s="57" t="s">
        <v>116</v>
      </c>
      <c r="S26" s="81"/>
    </row>
    <row r="27" spans="2:22" x14ac:dyDescent="0.2">
      <c r="B27" s="57" t="s">
        <v>117</v>
      </c>
      <c r="C27" s="81"/>
      <c r="D27" s="57" t="s">
        <v>118</v>
      </c>
      <c r="E27" s="81"/>
      <c r="F27" s="57" t="s">
        <v>119</v>
      </c>
      <c r="G27" s="81"/>
      <c r="H27" s="57" t="s">
        <v>120</v>
      </c>
      <c r="I27" s="81"/>
      <c r="J27" s="57" t="s">
        <v>121</v>
      </c>
      <c r="K27" s="81"/>
      <c r="L27" s="57" t="s">
        <v>122</v>
      </c>
      <c r="M27" s="81"/>
      <c r="N27" s="57" t="s">
        <v>123</v>
      </c>
      <c r="O27" s="81"/>
      <c r="P27" s="57" t="s">
        <v>124</v>
      </c>
      <c r="Q27" s="81"/>
      <c r="R27" s="57" t="s">
        <v>125</v>
      </c>
      <c r="S27" s="81"/>
    </row>
    <row r="28" spans="2:22" x14ac:dyDescent="0.2">
      <c r="B28" s="57" t="s">
        <v>126</v>
      </c>
      <c r="C28" s="81"/>
      <c r="D28" s="57" t="s">
        <v>127</v>
      </c>
      <c r="E28" s="81"/>
      <c r="F28" s="57" t="s">
        <v>128</v>
      </c>
      <c r="G28" s="81"/>
      <c r="H28" s="57" t="s">
        <v>129</v>
      </c>
      <c r="I28" s="81"/>
      <c r="J28" s="57" t="s">
        <v>130</v>
      </c>
      <c r="K28" s="81"/>
      <c r="L28" s="57" t="s">
        <v>131</v>
      </c>
      <c r="M28" s="81"/>
      <c r="N28" s="57" t="s">
        <v>132</v>
      </c>
      <c r="O28" s="81"/>
      <c r="P28" s="57" t="s">
        <v>133</v>
      </c>
      <c r="Q28" s="81"/>
      <c r="R28" s="57" t="s">
        <v>134</v>
      </c>
      <c r="S28" s="81"/>
      <c r="V28" s="210"/>
    </row>
    <row r="29" spans="2:22" x14ac:dyDescent="0.2">
      <c r="B29" s="57" t="s">
        <v>135</v>
      </c>
      <c r="C29" s="81"/>
      <c r="D29" s="57" t="s">
        <v>136</v>
      </c>
      <c r="E29" s="81"/>
      <c r="F29" s="57" t="s">
        <v>137</v>
      </c>
      <c r="G29" s="81"/>
      <c r="H29" s="57" t="s">
        <v>138</v>
      </c>
      <c r="I29" s="81"/>
      <c r="J29" s="57" t="s">
        <v>139</v>
      </c>
      <c r="K29" s="81"/>
      <c r="L29" s="57" t="s">
        <v>140</v>
      </c>
      <c r="M29" s="81"/>
      <c r="N29" s="57" t="s">
        <v>141</v>
      </c>
      <c r="O29" s="81"/>
      <c r="P29" s="57" t="s">
        <v>142</v>
      </c>
      <c r="Q29" s="81"/>
      <c r="R29" s="57" t="s">
        <v>143</v>
      </c>
      <c r="S29" s="81"/>
    </row>
    <row r="30" spans="2:22" x14ac:dyDescent="0.2">
      <c r="B30" s="57" t="s">
        <v>144</v>
      </c>
      <c r="C30" s="81"/>
      <c r="D30" s="57" t="s">
        <v>145</v>
      </c>
      <c r="E30" s="81"/>
      <c r="F30" s="57" t="s">
        <v>146</v>
      </c>
      <c r="G30" s="81"/>
      <c r="H30" s="57" t="s">
        <v>147</v>
      </c>
      <c r="I30" s="81"/>
      <c r="J30" s="57" t="s">
        <v>148</v>
      </c>
      <c r="K30" s="81"/>
      <c r="L30" s="57" t="s">
        <v>149</v>
      </c>
      <c r="M30" s="81"/>
      <c r="N30" s="57" t="s">
        <v>150</v>
      </c>
      <c r="O30" s="81"/>
      <c r="P30" s="57" t="s">
        <v>151</v>
      </c>
      <c r="Q30" s="81"/>
      <c r="R30" s="57" t="s">
        <v>152</v>
      </c>
      <c r="S30" s="81"/>
    </row>
    <row r="31" spans="2:22" x14ac:dyDescent="0.2">
      <c r="B31" s="57" t="s">
        <v>153</v>
      </c>
      <c r="C31" s="81"/>
      <c r="D31" s="57" t="s">
        <v>154</v>
      </c>
      <c r="E31" s="81"/>
      <c r="F31" s="57" t="s">
        <v>155</v>
      </c>
      <c r="G31" s="81"/>
      <c r="H31" s="57" t="s">
        <v>156</v>
      </c>
      <c r="I31" s="81"/>
      <c r="J31" s="57" t="s">
        <v>157</v>
      </c>
      <c r="K31" s="81"/>
      <c r="L31" s="57" t="s">
        <v>158</v>
      </c>
      <c r="M31" s="81"/>
      <c r="N31" s="57" t="s">
        <v>159</v>
      </c>
      <c r="O31" s="81"/>
      <c r="P31" s="57" t="s">
        <v>160</v>
      </c>
      <c r="Q31" s="81"/>
      <c r="R31" s="56" t="s">
        <v>161</v>
      </c>
      <c r="S31" s="80"/>
    </row>
    <row r="32" spans="2:22" x14ac:dyDescent="0.2"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</row>
    <row r="33" spans="1:19" x14ac:dyDescent="0.2">
      <c r="S33"/>
    </row>
    <row r="34" spans="1:19" x14ac:dyDescent="0.2">
      <c r="B34" s="71" t="s">
        <v>1</v>
      </c>
      <c r="C34" s="72" t="s">
        <v>162</v>
      </c>
      <c r="D34" s="71" t="s">
        <v>1</v>
      </c>
      <c r="E34" s="72" t="s">
        <v>163</v>
      </c>
      <c r="F34" s="71" t="s">
        <v>1</v>
      </c>
      <c r="G34" s="72" t="s">
        <v>164</v>
      </c>
      <c r="H34" s="71" t="s">
        <v>1</v>
      </c>
      <c r="I34" s="72" t="s">
        <v>165</v>
      </c>
      <c r="J34" s="71" t="s">
        <v>1</v>
      </c>
      <c r="K34" s="72" t="s">
        <v>166</v>
      </c>
      <c r="L34" s="71" t="s">
        <v>1</v>
      </c>
      <c r="M34" s="72" t="s">
        <v>167</v>
      </c>
      <c r="N34" s="71" t="s">
        <v>1</v>
      </c>
      <c r="O34" s="72" t="s">
        <v>168</v>
      </c>
      <c r="P34" s="71" t="s">
        <v>1</v>
      </c>
      <c r="Q34" s="72" t="s">
        <v>169</v>
      </c>
    </row>
    <row r="35" spans="1:19" x14ac:dyDescent="0.2">
      <c r="A35" s="78"/>
      <c r="B35" s="73" t="s">
        <v>11</v>
      </c>
      <c r="C35" s="74">
        <v>19</v>
      </c>
      <c r="D35" s="73" t="s">
        <v>11</v>
      </c>
      <c r="E35" s="74">
        <v>20</v>
      </c>
      <c r="F35" s="73" t="s">
        <v>11</v>
      </c>
      <c r="G35" s="74">
        <v>21</v>
      </c>
      <c r="H35" s="73" t="s">
        <v>11</v>
      </c>
      <c r="I35" s="74">
        <v>22</v>
      </c>
      <c r="J35" s="73" t="s">
        <v>11</v>
      </c>
      <c r="K35" s="74">
        <v>23</v>
      </c>
      <c r="L35" s="73" t="s">
        <v>11</v>
      </c>
      <c r="M35" s="74">
        <v>24</v>
      </c>
      <c r="N35" s="73" t="s">
        <v>11</v>
      </c>
      <c r="O35" s="74">
        <v>25</v>
      </c>
      <c r="P35" s="73" t="s">
        <v>11</v>
      </c>
      <c r="Q35" s="74">
        <v>26</v>
      </c>
    </row>
    <row r="36" spans="1:19" x14ac:dyDescent="0.2">
      <c r="B36" s="56" t="s">
        <v>14</v>
      </c>
      <c r="C36" s="80"/>
      <c r="D36" s="56"/>
      <c r="E36" s="80"/>
      <c r="F36" s="56"/>
      <c r="G36" s="80"/>
      <c r="H36" s="56"/>
      <c r="I36" s="80"/>
      <c r="J36" s="56"/>
      <c r="K36" s="80"/>
      <c r="L36" s="56"/>
      <c r="M36" s="80"/>
      <c r="N36" s="56"/>
      <c r="O36" s="80"/>
      <c r="P36" s="56"/>
      <c r="Q36" s="80"/>
    </row>
    <row r="37" spans="1:19" x14ac:dyDescent="0.2">
      <c r="B37" s="75" t="s">
        <v>15</v>
      </c>
      <c r="C37" s="76"/>
      <c r="D37" s="75" t="s">
        <v>15</v>
      </c>
      <c r="E37" s="76"/>
      <c r="F37" s="75" t="s">
        <v>15</v>
      </c>
      <c r="G37" s="76"/>
      <c r="H37" s="75" t="s">
        <v>15</v>
      </c>
      <c r="I37" s="76"/>
      <c r="J37" s="75" t="s">
        <v>15</v>
      </c>
      <c r="K37" s="76"/>
      <c r="L37" s="75" t="s">
        <v>15</v>
      </c>
      <c r="M37" s="76"/>
      <c r="N37" s="75" t="s">
        <v>15</v>
      </c>
      <c r="O37" s="76"/>
      <c r="P37" s="75" t="s">
        <v>15</v>
      </c>
      <c r="Q37" s="76"/>
    </row>
    <row r="38" spans="1:19" x14ac:dyDescent="0.2">
      <c r="B38" s="57" t="s">
        <v>170</v>
      </c>
      <c r="C38" s="81"/>
      <c r="D38" s="57"/>
      <c r="E38" s="81"/>
      <c r="F38" s="57"/>
      <c r="G38" s="81"/>
      <c r="H38" s="57"/>
      <c r="I38" s="81"/>
      <c r="J38" s="57"/>
      <c r="K38" s="81"/>
      <c r="L38" s="57"/>
      <c r="M38" s="81"/>
      <c r="N38" s="57"/>
      <c r="O38" s="81"/>
      <c r="P38" s="57"/>
      <c r="Q38" s="81"/>
    </row>
    <row r="39" spans="1:19" x14ac:dyDescent="0.2">
      <c r="B39" s="57" t="s">
        <v>171</v>
      </c>
      <c r="C39" s="81"/>
      <c r="D39" s="57"/>
      <c r="E39" s="81"/>
      <c r="F39" s="57"/>
      <c r="G39" s="81"/>
      <c r="H39" s="57"/>
      <c r="I39" s="81"/>
      <c r="J39" s="57"/>
      <c r="K39" s="81"/>
      <c r="L39" s="57"/>
      <c r="M39" s="81"/>
      <c r="N39" s="57"/>
      <c r="O39" s="81"/>
      <c r="P39" s="57"/>
      <c r="Q39" s="81"/>
    </row>
    <row r="40" spans="1:19" x14ac:dyDescent="0.2">
      <c r="B40" s="57" t="s">
        <v>172</v>
      </c>
      <c r="C40" s="81"/>
      <c r="D40" s="57"/>
      <c r="E40" s="81"/>
      <c r="F40" s="57"/>
      <c r="G40" s="81"/>
      <c r="H40" s="57"/>
      <c r="I40" s="81"/>
      <c r="J40" s="57"/>
      <c r="K40" s="81"/>
      <c r="L40" s="57"/>
      <c r="M40" s="81"/>
      <c r="N40" s="57"/>
      <c r="O40" s="81"/>
      <c r="P40" s="57"/>
      <c r="Q40" s="81"/>
    </row>
    <row r="41" spans="1:19" x14ac:dyDescent="0.2">
      <c r="B41" s="57" t="s">
        <v>173</v>
      </c>
      <c r="C41" s="81"/>
      <c r="D41" s="57"/>
      <c r="E41" s="81"/>
      <c r="F41" s="57"/>
      <c r="G41" s="81"/>
      <c r="H41" s="57"/>
      <c r="I41" s="81"/>
      <c r="J41" s="57"/>
      <c r="K41" s="81"/>
      <c r="L41" s="57"/>
      <c r="M41" s="81"/>
      <c r="N41" s="57"/>
      <c r="O41" s="81"/>
      <c r="P41" s="57"/>
      <c r="Q41" s="81"/>
    </row>
    <row r="42" spans="1:19" x14ac:dyDescent="0.2">
      <c r="B42" s="57" t="s">
        <v>174</v>
      </c>
      <c r="C42" s="81"/>
      <c r="D42" s="57"/>
      <c r="E42" s="81"/>
      <c r="F42" s="57"/>
      <c r="G42" s="81"/>
      <c r="H42" s="57"/>
      <c r="I42" s="81"/>
      <c r="J42" s="57"/>
      <c r="K42" s="81"/>
      <c r="L42" s="57"/>
      <c r="M42" s="81"/>
      <c r="N42" s="57"/>
      <c r="O42" s="81"/>
      <c r="P42" s="57"/>
      <c r="Q42" s="81"/>
    </row>
    <row r="43" spans="1:19" x14ac:dyDescent="0.2">
      <c r="B43" s="57" t="s">
        <v>175</v>
      </c>
      <c r="C43" s="81"/>
      <c r="D43" s="57"/>
      <c r="E43" s="81"/>
      <c r="F43" s="57"/>
      <c r="G43" s="81"/>
      <c r="H43" s="57"/>
      <c r="I43" s="81"/>
      <c r="J43" s="57"/>
      <c r="K43" s="81"/>
      <c r="L43" s="57"/>
      <c r="M43" s="81"/>
      <c r="N43" s="57"/>
      <c r="O43" s="81"/>
      <c r="P43" s="57"/>
      <c r="Q43" s="81"/>
    </row>
    <row r="44" spans="1:19" x14ac:dyDescent="0.2">
      <c r="B44" s="57" t="s">
        <v>176</v>
      </c>
      <c r="C44" s="81"/>
      <c r="D44" s="57"/>
      <c r="E44" s="81"/>
      <c r="F44" s="57"/>
      <c r="G44" s="81"/>
      <c r="H44" s="57"/>
      <c r="I44" s="81"/>
      <c r="J44" s="57"/>
      <c r="K44" s="81"/>
      <c r="L44" s="57"/>
      <c r="M44" s="81"/>
      <c r="N44" s="57"/>
      <c r="O44" s="81"/>
      <c r="P44" s="57"/>
      <c r="Q44" s="81"/>
    </row>
    <row r="45" spans="1:19" x14ac:dyDescent="0.2">
      <c r="B45" s="56"/>
      <c r="C45" s="80"/>
      <c r="D45" s="56"/>
      <c r="E45" s="80"/>
      <c r="F45" s="56"/>
      <c r="G45" s="80"/>
      <c r="H45" s="56"/>
      <c r="I45" s="80"/>
      <c r="J45" s="56"/>
      <c r="K45" s="80"/>
      <c r="L45" s="56"/>
      <c r="M45" s="80"/>
      <c r="N45" s="56"/>
      <c r="O45" s="80"/>
      <c r="P45" s="56"/>
      <c r="Q45" s="80"/>
    </row>
    <row r="47" spans="1:19" x14ac:dyDescent="0.2">
      <c r="B47" s="79"/>
    </row>
    <row r="49" spans="2:18" x14ac:dyDescent="0.2">
      <c r="I49" s="84"/>
      <c r="J49" s="84"/>
    </row>
    <row r="52" spans="2:18" x14ac:dyDescent="0.2">
      <c r="B52" s="84"/>
      <c r="C52" s="84"/>
      <c r="D52" s="84"/>
      <c r="E52" s="84"/>
      <c r="F52" s="84"/>
      <c r="G52" s="84"/>
      <c r="H52" s="84"/>
    </row>
    <row r="58" spans="2:18" x14ac:dyDescent="0.2">
      <c r="I58" s="84"/>
    </row>
    <row r="59" spans="2:18" x14ac:dyDescent="0.2">
      <c r="B59" s="84"/>
      <c r="C59" s="84"/>
      <c r="D59" s="84"/>
      <c r="E59" s="84"/>
      <c r="F59" s="84"/>
      <c r="G59" s="84"/>
      <c r="H59" s="84"/>
    </row>
    <row r="62" spans="2:18" x14ac:dyDescent="0.2">
      <c r="M62" s="83"/>
      <c r="N62" s="83"/>
      <c r="O62" s="83"/>
      <c r="P62" s="83"/>
      <c r="R62" s="83"/>
    </row>
    <row r="66" spans="10:11" x14ac:dyDescent="0.2">
      <c r="J66" s="58"/>
      <c r="K66" s="58"/>
    </row>
    <row r="67" spans="10:11" x14ac:dyDescent="0.2">
      <c r="J67" s="58"/>
      <c r="K67" s="58"/>
    </row>
    <row r="69" spans="10:11" x14ac:dyDescent="0.2">
      <c r="J69" s="58"/>
      <c r="K69" s="58"/>
    </row>
  </sheetData>
  <mergeCells count="1">
    <mergeCell ref="D3:F3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422EB-3452-415D-BD07-89356A8B9B6C}">
  <sheetPr codeName="Sheet1">
    <pageSetUpPr fitToPage="1"/>
  </sheetPr>
  <dimension ref="A1:AI34"/>
  <sheetViews>
    <sheetView workbookViewId="0">
      <selection activeCell="J32" sqref="J32"/>
    </sheetView>
  </sheetViews>
  <sheetFormatPr defaultRowHeight="12.75" x14ac:dyDescent="0.2"/>
  <cols>
    <col min="1" max="1" width="4.7109375" bestFit="1" customWidth="1"/>
    <col min="2" max="2" width="26" bestFit="1" customWidth="1"/>
    <col min="3" max="3" width="12.140625" bestFit="1" customWidth="1"/>
    <col min="4" max="4" width="8.140625" customWidth="1"/>
    <col min="5" max="5" width="7.85546875" customWidth="1"/>
    <col min="6" max="6" width="9.5703125" customWidth="1"/>
    <col min="7" max="7" width="9.7109375" customWidth="1"/>
    <col min="8" max="8" width="2.7109375" customWidth="1"/>
    <col min="9" max="23" width="3.7109375" customWidth="1"/>
    <col min="24" max="24" width="4" customWidth="1"/>
    <col min="25" max="35" width="3.7109375" customWidth="1"/>
  </cols>
  <sheetData>
    <row r="1" spans="1:35" x14ac:dyDescent="0.2">
      <c r="I1" s="111" t="s">
        <v>177</v>
      </c>
      <c r="J1" s="111"/>
      <c r="K1" s="111"/>
      <c r="L1" s="111"/>
      <c r="M1" s="111"/>
      <c r="N1" s="111"/>
      <c r="O1" s="111" t="s">
        <v>178</v>
      </c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 t="s">
        <v>179</v>
      </c>
    </row>
    <row r="2" spans="1:35" s="111" customFormat="1" x14ac:dyDescent="0.2">
      <c r="A2" s="158" t="s">
        <v>180</v>
      </c>
      <c r="B2" s="159" t="s">
        <v>181</v>
      </c>
      <c r="C2" s="159" t="s">
        <v>182</v>
      </c>
      <c r="D2" s="160" t="s">
        <v>179</v>
      </c>
      <c r="E2" s="160" t="s">
        <v>178</v>
      </c>
      <c r="F2" s="161" t="s">
        <v>177</v>
      </c>
      <c r="G2" s="169" t="s">
        <v>183</v>
      </c>
      <c r="H2" s="193"/>
      <c r="I2" s="157" t="s">
        <v>184</v>
      </c>
      <c r="J2" s="157" t="s">
        <v>185</v>
      </c>
      <c r="K2" s="157" t="s">
        <v>186</v>
      </c>
      <c r="L2" s="157" t="s">
        <v>187</v>
      </c>
      <c r="M2" s="157" t="s">
        <v>188</v>
      </c>
      <c r="O2" s="157" t="s">
        <v>189</v>
      </c>
      <c r="P2" s="157" t="s">
        <v>190</v>
      </c>
      <c r="Q2" s="157" t="s">
        <v>191</v>
      </c>
      <c r="R2" s="157" t="s">
        <v>192</v>
      </c>
      <c r="S2" s="157" t="s">
        <v>193</v>
      </c>
      <c r="T2" s="157" t="s">
        <v>194</v>
      </c>
      <c r="U2" s="157" t="s">
        <v>195</v>
      </c>
      <c r="V2" s="157" t="s">
        <v>196</v>
      </c>
      <c r="W2" s="157" t="s">
        <v>197</v>
      </c>
      <c r="X2" s="157" t="s">
        <v>198</v>
      </c>
      <c r="Z2" s="157" t="s">
        <v>199</v>
      </c>
      <c r="AA2" s="157" t="s">
        <v>200</v>
      </c>
      <c r="AB2" s="157" t="s">
        <v>201</v>
      </c>
      <c r="AC2" s="157" t="s">
        <v>202</v>
      </c>
      <c r="AD2" s="157" t="s">
        <v>203</v>
      </c>
      <c r="AE2" s="157" t="s">
        <v>204</v>
      </c>
      <c r="AF2" s="157" t="s">
        <v>205</v>
      </c>
      <c r="AG2" s="157" t="s">
        <v>206</v>
      </c>
      <c r="AH2" s="157" t="s">
        <v>207</v>
      </c>
      <c r="AI2" s="157" t="s">
        <v>208</v>
      </c>
    </row>
    <row r="3" spans="1:35" x14ac:dyDescent="0.2">
      <c r="A3" s="156">
        <v>1</v>
      </c>
      <c r="B3" s="152" t="s">
        <v>209</v>
      </c>
      <c r="C3" s="152" t="s">
        <v>210</v>
      </c>
      <c r="D3" s="200">
        <v>3</v>
      </c>
      <c r="E3" s="200">
        <v>1</v>
      </c>
      <c r="F3" s="200"/>
      <c r="G3" s="170">
        <f>SUM(D3:F3)</f>
        <v>4</v>
      </c>
      <c r="H3" s="188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/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/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">
      <c r="A4" s="162">
        <v>2</v>
      </c>
      <c r="B4" s="163" t="s">
        <v>211</v>
      </c>
      <c r="C4" s="163" t="s">
        <v>212</v>
      </c>
      <c r="D4" s="201">
        <v>4</v>
      </c>
      <c r="E4" s="201">
        <v>1</v>
      </c>
      <c r="F4" s="201"/>
      <c r="G4" s="192">
        <f t="shared" ref="G4:G31" si="0">SUM(D4:F4)</f>
        <v>5</v>
      </c>
      <c r="H4" s="188"/>
      <c r="I4" s="164" t="str">
        <f t="shared" ref="I4:I32" si="1">IF(AND($F4&lt;&gt;"",$F4&gt;=1),"G1","")</f>
        <v/>
      </c>
      <c r="J4" s="164" t="str">
        <f t="shared" ref="J4:J32" si="2">IF(AND($F4&lt;&gt;"",$F4&gt;=2),"G2","")</f>
        <v/>
      </c>
      <c r="K4" s="164" t="str">
        <f t="shared" ref="K4:K32" si="3">IF(AND($F4&lt;&gt;"",$F4&gt;=3),"G3","")</f>
        <v/>
      </c>
      <c r="L4" s="164" t="str">
        <f t="shared" ref="L4:L32" si="4">IF(AND($F4&lt;&gt;"",$F4&gt;=4),"G4","")</f>
        <v/>
      </c>
      <c r="M4" s="164" t="str">
        <f t="shared" ref="M4:M32" si="5">IF(AND($F4&lt;&gt;"",$F4&gt;=5),"G5","")</f>
        <v/>
      </c>
      <c r="O4" s="164" t="str">
        <f t="shared" ref="O4:O32" si="6">IF(AND($E4&lt;&gt;"",$E4&gt;=1),"M1","")</f>
        <v>M1</v>
      </c>
      <c r="P4" s="164" t="str">
        <f t="shared" ref="P4:P32" si="7">IF(AND($E4&lt;&gt;"",$E4&gt;=2),"M2","")</f>
        <v/>
      </c>
      <c r="Q4" s="164" t="str">
        <f t="shared" ref="Q4:Q32" si="8">IF(AND($E4&lt;&gt;"",$E4&gt;=3),"M3","")</f>
        <v/>
      </c>
      <c r="R4" s="164" t="str">
        <f t="shared" ref="R4:R32" si="9">IF(AND($E4&lt;&gt;"",$E4&gt;=4),"M4","")</f>
        <v/>
      </c>
      <c r="S4" s="164" t="str">
        <f t="shared" ref="S4:S32" si="10">IF(AND($E4&lt;&gt;"",$E4&gt;=5),"M5","")</f>
        <v/>
      </c>
      <c r="T4" s="164" t="str">
        <f t="shared" ref="T4:T32" si="11">IF(AND($E4&lt;&gt;"",$E4&gt;=6),"M6","")</f>
        <v/>
      </c>
      <c r="U4" s="164" t="str">
        <f t="shared" ref="U4:U32" si="12">IF(AND($E4&lt;&gt;"",$E4&gt;=7),"M7","")</f>
        <v/>
      </c>
      <c r="V4" s="164" t="str">
        <f t="shared" ref="V4:V32" si="13">IF(AND($E4&lt;&gt;"",$E4&gt;=8),"M8","")</f>
        <v/>
      </c>
      <c r="W4" s="164" t="str">
        <f t="shared" ref="W4:W32" si="14">IF(AND($E4&lt;&gt;"",$E4&gt;=9),"M9","")</f>
        <v/>
      </c>
      <c r="X4" s="164" t="str">
        <f t="shared" ref="X4:X32" si="15">IF(AND($E4&lt;&gt;"",$E4&gt;=10),"M10","")</f>
        <v/>
      </c>
      <c r="Z4" s="164" t="str">
        <f t="shared" ref="Z4:Z32" si="16">IF(AND($D4&lt;&gt;"",$D4&gt;=1),"J1","")</f>
        <v>J1</v>
      </c>
      <c r="AA4" s="164" t="str">
        <f t="shared" ref="AA4:AA32" si="17">IF(AND($D4&lt;&gt;"",$D4&gt;=2),"J2","")</f>
        <v>J2</v>
      </c>
      <c r="AB4" s="164" t="str">
        <f t="shared" ref="AB4:AB32" si="18">IF(AND($D4&lt;&gt;"",$D4&gt;=3),"J3","")</f>
        <v>J3</v>
      </c>
      <c r="AC4" s="164" t="str">
        <f t="shared" ref="AC4:AC32" si="19">IF(AND($D4&lt;&gt;"",$D4&gt;=4),"J4","")</f>
        <v>J4</v>
      </c>
      <c r="AD4" s="164" t="str">
        <f t="shared" ref="AD4:AD32" si="20">IF(AND($D4&lt;&gt;"",$D4&gt;=5),"J5","")</f>
        <v/>
      </c>
      <c r="AE4" s="164" t="str">
        <f t="shared" ref="AE4:AE32" si="21">IF(AND($D4&lt;&gt;"",$D4&gt;=6),"J6","")</f>
        <v/>
      </c>
      <c r="AF4" s="164" t="str">
        <f t="shared" ref="AF4:AF32" si="22">IF(AND($D4&lt;&gt;"",$D4&gt;=7),"J7","")</f>
        <v/>
      </c>
      <c r="AG4" s="164" t="str">
        <f t="shared" ref="AG4:AG32" si="23">IF(AND($D4&lt;&gt;"",$D4&gt;=8),"J8","")</f>
        <v/>
      </c>
      <c r="AH4" s="164" t="str">
        <f t="shared" ref="AH4:AH32" si="24">IF(AND($D4&lt;&gt;"",$D4&gt;=9),"J9","")</f>
        <v/>
      </c>
      <c r="AI4" s="164" t="str">
        <f t="shared" ref="AI4:AI32" si="25">IF(AND($D4&lt;&gt;"",$D4&gt;=10),"J10","")</f>
        <v/>
      </c>
    </row>
    <row r="5" spans="1:35" x14ac:dyDescent="0.2">
      <c r="A5" s="156">
        <v>3</v>
      </c>
      <c r="B5" s="152" t="s">
        <v>213</v>
      </c>
      <c r="C5" s="152" t="s">
        <v>214</v>
      </c>
      <c r="D5" s="200">
        <v>5</v>
      </c>
      <c r="E5" s="200">
        <v>2</v>
      </c>
      <c r="F5" s="200">
        <v>1</v>
      </c>
      <c r="G5" s="170">
        <f t="shared" si="0"/>
        <v>8</v>
      </c>
      <c r="H5" s="188"/>
      <c r="I5" t="str">
        <f t="shared" si="1"/>
        <v>G1</v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>M1</v>
      </c>
      <c r="P5" t="str">
        <f t="shared" si="7"/>
        <v>M2</v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>J4</v>
      </c>
      <c r="AD5" t="str">
        <f t="shared" si="20"/>
        <v>J5</v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">
      <c r="A6" s="162">
        <v>4</v>
      </c>
      <c r="B6" s="163" t="s">
        <v>215</v>
      </c>
      <c r="C6" s="163" t="s">
        <v>216</v>
      </c>
      <c r="D6" s="201">
        <v>1</v>
      </c>
      <c r="E6" s="201"/>
      <c r="F6" s="201"/>
      <c r="G6" s="192">
        <f t="shared" si="0"/>
        <v>1</v>
      </c>
      <c r="H6" s="188"/>
      <c r="I6" s="164" t="str">
        <f t="shared" si="1"/>
        <v/>
      </c>
      <c r="J6" s="164" t="str">
        <f t="shared" si="2"/>
        <v/>
      </c>
      <c r="K6" s="164" t="str">
        <f t="shared" si="3"/>
        <v/>
      </c>
      <c r="L6" s="164" t="str">
        <f t="shared" si="4"/>
        <v/>
      </c>
      <c r="M6" s="164" t="str">
        <f t="shared" si="5"/>
        <v/>
      </c>
      <c r="O6" s="164" t="str">
        <f t="shared" si="6"/>
        <v/>
      </c>
      <c r="P6" s="164" t="str">
        <f t="shared" si="7"/>
        <v/>
      </c>
      <c r="Q6" s="164" t="str">
        <f t="shared" si="8"/>
        <v/>
      </c>
      <c r="R6" s="164" t="str">
        <f t="shared" si="9"/>
        <v/>
      </c>
      <c r="S6" s="164" t="str">
        <f t="shared" si="10"/>
        <v/>
      </c>
      <c r="T6" s="164" t="str">
        <f t="shared" si="11"/>
        <v/>
      </c>
      <c r="U6" s="164" t="str">
        <f t="shared" si="12"/>
        <v/>
      </c>
      <c r="V6" s="164" t="str">
        <f t="shared" si="13"/>
        <v/>
      </c>
      <c r="W6" s="164" t="str">
        <f t="shared" si="14"/>
        <v/>
      </c>
      <c r="X6" s="164" t="str">
        <f t="shared" si="15"/>
        <v/>
      </c>
      <c r="Z6" s="164" t="str">
        <f t="shared" si="16"/>
        <v>J1</v>
      </c>
      <c r="AA6" s="164" t="str">
        <f t="shared" si="17"/>
        <v/>
      </c>
      <c r="AB6" s="164" t="str">
        <f t="shared" si="18"/>
        <v/>
      </c>
      <c r="AC6" s="164" t="str">
        <f t="shared" si="19"/>
        <v/>
      </c>
      <c r="AD6" s="164" t="str">
        <f t="shared" si="20"/>
        <v/>
      </c>
      <c r="AE6" s="164" t="str">
        <f t="shared" si="21"/>
        <v/>
      </c>
      <c r="AF6" s="164" t="str">
        <f t="shared" si="22"/>
        <v/>
      </c>
      <c r="AG6" s="164" t="str">
        <f t="shared" si="23"/>
        <v/>
      </c>
      <c r="AH6" s="164" t="str">
        <f t="shared" si="24"/>
        <v/>
      </c>
      <c r="AI6" s="164" t="str">
        <f t="shared" si="25"/>
        <v/>
      </c>
    </row>
    <row r="7" spans="1:35" x14ac:dyDescent="0.2">
      <c r="A7" s="156">
        <v>5</v>
      </c>
      <c r="B7" s="152" t="s">
        <v>217</v>
      </c>
      <c r="C7" s="152" t="s">
        <v>218</v>
      </c>
      <c r="D7" s="200">
        <v>1</v>
      </c>
      <c r="E7" s="200">
        <v>1</v>
      </c>
      <c r="F7" s="200"/>
      <c r="G7" s="170">
        <f t="shared" si="0"/>
        <v>2</v>
      </c>
      <c r="H7" s="188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/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">
      <c r="A8" s="162">
        <v>6</v>
      </c>
      <c r="B8" s="163" t="s">
        <v>219</v>
      </c>
      <c r="C8" s="163" t="s">
        <v>220</v>
      </c>
      <c r="D8" s="201">
        <v>2</v>
      </c>
      <c r="E8" s="201">
        <v>1</v>
      </c>
      <c r="F8" s="201"/>
      <c r="G8" s="192">
        <f t="shared" si="0"/>
        <v>3</v>
      </c>
      <c r="H8" s="188"/>
      <c r="I8" s="164" t="str">
        <f t="shared" si="1"/>
        <v/>
      </c>
      <c r="J8" s="164" t="str">
        <f t="shared" si="2"/>
        <v/>
      </c>
      <c r="K8" s="164" t="str">
        <f t="shared" si="3"/>
        <v/>
      </c>
      <c r="L8" s="164" t="str">
        <f t="shared" si="4"/>
        <v/>
      </c>
      <c r="M8" s="164" t="str">
        <f t="shared" si="5"/>
        <v/>
      </c>
      <c r="O8" s="164" t="str">
        <f t="shared" si="6"/>
        <v>M1</v>
      </c>
      <c r="P8" s="164" t="str">
        <f t="shared" si="7"/>
        <v/>
      </c>
      <c r="Q8" s="164" t="str">
        <f t="shared" si="8"/>
        <v/>
      </c>
      <c r="R8" s="164" t="str">
        <f t="shared" si="9"/>
        <v/>
      </c>
      <c r="S8" s="164" t="str">
        <f t="shared" si="10"/>
        <v/>
      </c>
      <c r="T8" s="164" t="str">
        <f t="shared" si="11"/>
        <v/>
      </c>
      <c r="U8" s="164" t="str">
        <f t="shared" si="12"/>
        <v/>
      </c>
      <c r="V8" s="164" t="str">
        <f t="shared" si="13"/>
        <v/>
      </c>
      <c r="W8" s="164" t="str">
        <f t="shared" si="14"/>
        <v/>
      </c>
      <c r="X8" s="164" t="str">
        <f t="shared" si="15"/>
        <v/>
      </c>
      <c r="Z8" s="164" t="str">
        <f t="shared" si="16"/>
        <v>J1</v>
      </c>
      <c r="AA8" s="164" t="str">
        <f t="shared" si="17"/>
        <v>J2</v>
      </c>
      <c r="AB8" s="164" t="str">
        <f t="shared" si="18"/>
        <v/>
      </c>
      <c r="AC8" s="164" t="str">
        <f t="shared" si="19"/>
        <v/>
      </c>
      <c r="AD8" s="164" t="str">
        <f t="shared" si="20"/>
        <v/>
      </c>
      <c r="AE8" s="164" t="str">
        <f t="shared" si="21"/>
        <v/>
      </c>
      <c r="AF8" s="164" t="str">
        <f t="shared" si="22"/>
        <v/>
      </c>
      <c r="AG8" s="164" t="str">
        <f t="shared" si="23"/>
        <v/>
      </c>
      <c r="AH8" s="164" t="str">
        <f t="shared" si="24"/>
        <v/>
      </c>
      <c r="AI8" s="164" t="str">
        <f t="shared" si="25"/>
        <v/>
      </c>
    </row>
    <row r="9" spans="1:35" x14ac:dyDescent="0.2">
      <c r="A9" s="156">
        <v>7</v>
      </c>
      <c r="B9" s="152" t="s">
        <v>221</v>
      </c>
      <c r="C9" s="152" t="s">
        <v>222</v>
      </c>
      <c r="D9" s="200">
        <v>2</v>
      </c>
      <c r="E9" s="200">
        <v>2</v>
      </c>
      <c r="F9" s="200"/>
      <c r="G9" s="170">
        <f t="shared" si="0"/>
        <v>4</v>
      </c>
      <c r="H9" s="188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>M1</v>
      </c>
      <c r="P9" t="str">
        <f t="shared" si="7"/>
        <v>M2</v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/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">
      <c r="A10" s="162">
        <v>8</v>
      </c>
      <c r="B10" s="163" t="s">
        <v>223</v>
      </c>
      <c r="C10" s="163" t="s">
        <v>224</v>
      </c>
      <c r="D10" s="201">
        <v>4</v>
      </c>
      <c r="E10" s="201">
        <v>2</v>
      </c>
      <c r="F10" s="201">
        <v>2</v>
      </c>
      <c r="G10" s="192">
        <f t="shared" si="0"/>
        <v>8</v>
      </c>
      <c r="H10" s="188"/>
      <c r="I10" s="164" t="str">
        <f t="shared" si="1"/>
        <v>G1</v>
      </c>
      <c r="J10" s="164" t="str">
        <f t="shared" si="2"/>
        <v>G2</v>
      </c>
      <c r="K10" s="164" t="str">
        <f t="shared" si="3"/>
        <v/>
      </c>
      <c r="L10" s="164" t="str">
        <f t="shared" si="4"/>
        <v/>
      </c>
      <c r="M10" s="164" t="str">
        <f t="shared" si="5"/>
        <v/>
      </c>
      <c r="O10" s="164" t="str">
        <f t="shared" si="6"/>
        <v>M1</v>
      </c>
      <c r="P10" s="164" t="str">
        <f t="shared" si="7"/>
        <v>M2</v>
      </c>
      <c r="Q10" s="164" t="str">
        <f t="shared" si="8"/>
        <v/>
      </c>
      <c r="R10" s="164" t="str">
        <f t="shared" si="9"/>
        <v/>
      </c>
      <c r="S10" s="164" t="str">
        <f t="shared" si="10"/>
        <v/>
      </c>
      <c r="T10" s="164" t="str">
        <f t="shared" si="11"/>
        <v/>
      </c>
      <c r="U10" s="164" t="str">
        <f t="shared" si="12"/>
        <v/>
      </c>
      <c r="V10" s="164" t="str">
        <f t="shared" si="13"/>
        <v/>
      </c>
      <c r="W10" s="164" t="str">
        <f t="shared" si="14"/>
        <v/>
      </c>
      <c r="X10" s="164" t="str">
        <f t="shared" si="15"/>
        <v/>
      </c>
      <c r="Z10" s="164" t="str">
        <f t="shared" si="16"/>
        <v>J1</v>
      </c>
      <c r="AA10" s="164" t="str">
        <f t="shared" si="17"/>
        <v>J2</v>
      </c>
      <c r="AB10" s="164" t="str">
        <f t="shared" si="18"/>
        <v>J3</v>
      </c>
      <c r="AC10" s="164" t="str">
        <f t="shared" si="19"/>
        <v>J4</v>
      </c>
      <c r="AD10" s="164" t="str">
        <f t="shared" si="20"/>
        <v/>
      </c>
      <c r="AE10" s="164" t="str">
        <f t="shared" si="21"/>
        <v/>
      </c>
      <c r="AF10" s="164" t="str">
        <f t="shared" si="22"/>
        <v/>
      </c>
      <c r="AG10" s="164" t="str">
        <f t="shared" si="23"/>
        <v/>
      </c>
      <c r="AH10" s="164" t="str">
        <f t="shared" si="24"/>
        <v/>
      </c>
      <c r="AI10" s="164" t="str">
        <f t="shared" si="25"/>
        <v/>
      </c>
    </row>
    <row r="11" spans="1:35" x14ac:dyDescent="0.2">
      <c r="A11" s="156">
        <v>9</v>
      </c>
      <c r="B11" s="152" t="s">
        <v>225</v>
      </c>
      <c r="C11" s="152" t="s">
        <v>226</v>
      </c>
      <c r="D11" s="200">
        <v>2</v>
      </c>
      <c r="E11" s="200">
        <v>1</v>
      </c>
      <c r="F11" s="200"/>
      <c r="G11" s="170">
        <f t="shared" si="0"/>
        <v>3</v>
      </c>
      <c r="H11" s="188"/>
      <c r="I11" t="str">
        <f t="shared" si="1"/>
        <v/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>M1</v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>J1</v>
      </c>
      <c r="AA11" t="str">
        <f t="shared" si="17"/>
        <v>J2</v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">
      <c r="A12" s="162">
        <v>10</v>
      </c>
      <c r="B12" s="163" t="s">
        <v>227</v>
      </c>
      <c r="C12" s="163" t="s">
        <v>228</v>
      </c>
      <c r="D12" s="201">
        <v>1</v>
      </c>
      <c r="E12" s="201"/>
      <c r="F12" s="201">
        <v>1</v>
      </c>
      <c r="G12" s="192">
        <f t="shared" si="0"/>
        <v>2</v>
      </c>
      <c r="H12" s="188"/>
      <c r="I12" s="164" t="str">
        <f t="shared" si="1"/>
        <v>G1</v>
      </c>
      <c r="J12" s="164" t="str">
        <f t="shared" si="2"/>
        <v/>
      </c>
      <c r="K12" s="164" t="str">
        <f t="shared" si="3"/>
        <v/>
      </c>
      <c r="L12" s="164" t="str">
        <f t="shared" si="4"/>
        <v/>
      </c>
      <c r="M12" s="164" t="str">
        <f t="shared" si="5"/>
        <v/>
      </c>
      <c r="O12" s="164" t="str">
        <f t="shared" si="6"/>
        <v/>
      </c>
      <c r="P12" s="164" t="str">
        <f t="shared" si="7"/>
        <v/>
      </c>
      <c r="Q12" s="164" t="str">
        <f t="shared" si="8"/>
        <v/>
      </c>
      <c r="R12" s="164" t="str">
        <f t="shared" si="9"/>
        <v/>
      </c>
      <c r="S12" s="164" t="str">
        <f t="shared" si="10"/>
        <v/>
      </c>
      <c r="T12" s="164" t="str">
        <f t="shared" si="11"/>
        <v/>
      </c>
      <c r="U12" s="164" t="str">
        <f t="shared" si="12"/>
        <v/>
      </c>
      <c r="V12" s="164" t="str">
        <f t="shared" si="13"/>
        <v/>
      </c>
      <c r="W12" s="164" t="str">
        <f t="shared" si="14"/>
        <v/>
      </c>
      <c r="X12" s="164" t="str">
        <f t="shared" si="15"/>
        <v/>
      </c>
      <c r="Z12" s="164" t="str">
        <f t="shared" si="16"/>
        <v>J1</v>
      </c>
      <c r="AA12" s="164" t="str">
        <f t="shared" si="17"/>
        <v/>
      </c>
      <c r="AB12" s="164" t="str">
        <f t="shared" si="18"/>
        <v/>
      </c>
      <c r="AC12" s="164" t="str">
        <f t="shared" si="19"/>
        <v/>
      </c>
      <c r="AD12" s="164" t="str">
        <f t="shared" si="20"/>
        <v/>
      </c>
      <c r="AE12" s="164" t="str">
        <f t="shared" si="21"/>
        <v/>
      </c>
      <c r="AF12" s="164" t="str">
        <f t="shared" si="22"/>
        <v/>
      </c>
      <c r="AG12" s="164" t="str">
        <f t="shared" si="23"/>
        <v/>
      </c>
      <c r="AH12" s="164" t="str">
        <f t="shared" si="24"/>
        <v/>
      </c>
      <c r="AI12" s="164" t="str">
        <f t="shared" si="25"/>
        <v/>
      </c>
    </row>
    <row r="13" spans="1:35" x14ac:dyDescent="0.2">
      <c r="A13" s="156">
        <v>11</v>
      </c>
      <c r="B13" s="152" t="s">
        <v>229</v>
      </c>
      <c r="C13" s="152" t="s">
        <v>230</v>
      </c>
      <c r="D13" s="200">
        <v>3</v>
      </c>
      <c r="E13" s="200">
        <v>2</v>
      </c>
      <c r="F13" s="200"/>
      <c r="G13" s="170">
        <f t="shared" si="0"/>
        <v>5</v>
      </c>
      <c r="H13" s="188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>M1</v>
      </c>
      <c r="P13" t="str">
        <f t="shared" si="7"/>
        <v>M2</v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">
      <c r="A14" s="162">
        <v>12</v>
      </c>
      <c r="B14" s="163" t="s">
        <v>231</v>
      </c>
      <c r="C14" s="163" t="s">
        <v>232</v>
      </c>
      <c r="D14" s="201">
        <v>3</v>
      </c>
      <c r="E14" s="201">
        <v>1</v>
      </c>
      <c r="F14" s="201">
        <v>1</v>
      </c>
      <c r="G14" s="192">
        <f t="shared" si="0"/>
        <v>5</v>
      </c>
      <c r="H14" s="188"/>
      <c r="I14" s="164" t="str">
        <f t="shared" si="1"/>
        <v>G1</v>
      </c>
      <c r="J14" s="164" t="str">
        <f t="shared" si="2"/>
        <v/>
      </c>
      <c r="K14" s="164" t="str">
        <f t="shared" si="3"/>
        <v/>
      </c>
      <c r="L14" s="164" t="str">
        <f t="shared" si="4"/>
        <v/>
      </c>
      <c r="M14" s="164" t="str">
        <f t="shared" si="5"/>
        <v/>
      </c>
      <c r="O14" s="164" t="str">
        <f t="shared" si="6"/>
        <v>M1</v>
      </c>
      <c r="P14" s="164" t="str">
        <f t="shared" si="7"/>
        <v/>
      </c>
      <c r="Q14" s="164" t="str">
        <f t="shared" si="8"/>
        <v/>
      </c>
      <c r="R14" s="164" t="str">
        <f t="shared" si="9"/>
        <v/>
      </c>
      <c r="S14" s="164" t="str">
        <f t="shared" si="10"/>
        <v/>
      </c>
      <c r="T14" s="164" t="str">
        <f t="shared" si="11"/>
        <v/>
      </c>
      <c r="U14" s="164" t="str">
        <f t="shared" si="12"/>
        <v/>
      </c>
      <c r="V14" s="164" t="str">
        <f t="shared" si="13"/>
        <v/>
      </c>
      <c r="W14" s="164" t="str">
        <f t="shared" si="14"/>
        <v/>
      </c>
      <c r="X14" s="164" t="str">
        <f t="shared" si="15"/>
        <v/>
      </c>
      <c r="Z14" s="164" t="str">
        <f t="shared" si="16"/>
        <v>J1</v>
      </c>
      <c r="AA14" s="164" t="str">
        <f t="shared" si="17"/>
        <v>J2</v>
      </c>
      <c r="AB14" s="164" t="str">
        <f t="shared" si="18"/>
        <v>J3</v>
      </c>
      <c r="AC14" s="164" t="str">
        <f t="shared" si="19"/>
        <v/>
      </c>
      <c r="AD14" s="164" t="str">
        <f t="shared" si="20"/>
        <v/>
      </c>
      <c r="AE14" s="164" t="str">
        <f t="shared" si="21"/>
        <v/>
      </c>
      <c r="AF14" s="164" t="str">
        <f t="shared" si="22"/>
        <v/>
      </c>
      <c r="AG14" s="164" t="str">
        <f t="shared" si="23"/>
        <v/>
      </c>
      <c r="AH14" s="164" t="str">
        <f t="shared" si="24"/>
        <v/>
      </c>
      <c r="AI14" s="164" t="str">
        <f t="shared" si="25"/>
        <v/>
      </c>
    </row>
    <row r="15" spans="1:35" x14ac:dyDescent="0.2">
      <c r="A15" s="156">
        <v>13</v>
      </c>
      <c r="B15" s="152" t="s">
        <v>233</v>
      </c>
      <c r="C15" s="153" t="s">
        <v>234</v>
      </c>
      <c r="D15" s="200">
        <v>5</v>
      </c>
      <c r="E15" s="200">
        <v>1</v>
      </c>
      <c r="F15" s="200">
        <v>1</v>
      </c>
      <c r="G15" s="170">
        <f t="shared" si="0"/>
        <v>7</v>
      </c>
      <c r="H15" s="188"/>
      <c r="I15" t="str">
        <f t="shared" si="1"/>
        <v>G1</v>
      </c>
      <c r="J15" t="str">
        <f t="shared" si="2"/>
        <v/>
      </c>
      <c r="K15" t="str">
        <f t="shared" si="3"/>
        <v/>
      </c>
      <c r="L15" t="str">
        <f t="shared" si="4"/>
        <v/>
      </c>
      <c r="M15" t="str">
        <f t="shared" si="5"/>
        <v/>
      </c>
      <c r="O15" t="str">
        <f t="shared" si="6"/>
        <v>M1</v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>J4</v>
      </c>
      <c r="AD15" t="str">
        <f t="shared" si="20"/>
        <v>J5</v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">
      <c r="A16" s="162">
        <v>14</v>
      </c>
      <c r="B16" s="163" t="s">
        <v>235</v>
      </c>
      <c r="C16" s="163" t="s">
        <v>236</v>
      </c>
      <c r="D16" s="201">
        <v>3</v>
      </c>
      <c r="E16" s="201">
        <v>1</v>
      </c>
      <c r="F16" s="201">
        <v>1</v>
      </c>
      <c r="G16" s="192">
        <f t="shared" si="0"/>
        <v>5</v>
      </c>
      <c r="H16" s="188"/>
      <c r="I16" s="164" t="str">
        <f t="shared" si="1"/>
        <v>G1</v>
      </c>
      <c r="J16" s="164" t="str">
        <f t="shared" si="2"/>
        <v/>
      </c>
      <c r="K16" s="164" t="str">
        <f t="shared" si="3"/>
        <v/>
      </c>
      <c r="L16" s="164" t="str">
        <f t="shared" si="4"/>
        <v/>
      </c>
      <c r="M16" s="164" t="str">
        <f t="shared" si="5"/>
        <v/>
      </c>
      <c r="O16" s="164" t="str">
        <f t="shared" si="6"/>
        <v>M1</v>
      </c>
      <c r="P16" s="164" t="str">
        <f t="shared" si="7"/>
        <v/>
      </c>
      <c r="Q16" s="164" t="str">
        <f t="shared" si="8"/>
        <v/>
      </c>
      <c r="R16" s="164" t="str">
        <f t="shared" si="9"/>
        <v/>
      </c>
      <c r="S16" s="164" t="str">
        <f t="shared" si="10"/>
        <v/>
      </c>
      <c r="T16" s="164" t="str">
        <f t="shared" si="11"/>
        <v/>
      </c>
      <c r="U16" s="164" t="str">
        <f t="shared" si="12"/>
        <v/>
      </c>
      <c r="V16" s="164" t="str">
        <f t="shared" si="13"/>
        <v/>
      </c>
      <c r="W16" s="164" t="str">
        <f t="shared" si="14"/>
        <v/>
      </c>
      <c r="X16" s="164" t="str">
        <f t="shared" si="15"/>
        <v/>
      </c>
      <c r="Z16" s="164" t="str">
        <f t="shared" si="16"/>
        <v>J1</v>
      </c>
      <c r="AA16" s="164" t="str">
        <f t="shared" si="17"/>
        <v>J2</v>
      </c>
      <c r="AB16" s="164" t="str">
        <f t="shared" si="18"/>
        <v>J3</v>
      </c>
      <c r="AC16" s="164" t="str">
        <f t="shared" si="19"/>
        <v/>
      </c>
      <c r="AD16" s="164" t="str">
        <f t="shared" si="20"/>
        <v/>
      </c>
      <c r="AE16" s="164" t="str">
        <f t="shared" si="21"/>
        <v/>
      </c>
      <c r="AF16" s="164" t="str">
        <f t="shared" si="22"/>
        <v/>
      </c>
      <c r="AG16" s="164" t="str">
        <f t="shared" si="23"/>
        <v/>
      </c>
      <c r="AH16" s="164" t="str">
        <f t="shared" si="24"/>
        <v/>
      </c>
      <c r="AI16" s="164" t="str">
        <f t="shared" si="25"/>
        <v/>
      </c>
    </row>
    <row r="17" spans="1:35" x14ac:dyDescent="0.2">
      <c r="A17" s="156">
        <v>15</v>
      </c>
      <c r="B17" s="152" t="s">
        <v>237</v>
      </c>
      <c r="C17" s="152" t="s">
        <v>238</v>
      </c>
      <c r="D17" s="200">
        <v>3</v>
      </c>
      <c r="E17" s="200"/>
      <c r="F17" s="200"/>
      <c r="G17" s="170">
        <f t="shared" si="0"/>
        <v>3</v>
      </c>
      <c r="H17" s="188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>J3</v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">
      <c r="A18" s="162">
        <v>16</v>
      </c>
      <c r="B18" s="163" t="s">
        <v>239</v>
      </c>
      <c r="C18" s="163" t="s">
        <v>240</v>
      </c>
      <c r="D18" s="201">
        <v>2</v>
      </c>
      <c r="E18" s="201"/>
      <c r="F18" s="201"/>
      <c r="G18" s="192">
        <f t="shared" si="0"/>
        <v>2</v>
      </c>
      <c r="H18" s="188"/>
      <c r="I18" s="164" t="str">
        <f t="shared" si="1"/>
        <v/>
      </c>
      <c r="J18" s="164" t="str">
        <f t="shared" si="2"/>
        <v/>
      </c>
      <c r="K18" s="164" t="str">
        <f t="shared" si="3"/>
        <v/>
      </c>
      <c r="L18" s="164" t="str">
        <f t="shared" si="4"/>
        <v/>
      </c>
      <c r="M18" s="164" t="str">
        <f t="shared" si="5"/>
        <v/>
      </c>
      <c r="O18" s="164" t="str">
        <f t="shared" si="6"/>
        <v/>
      </c>
      <c r="P18" s="164" t="str">
        <f t="shared" si="7"/>
        <v/>
      </c>
      <c r="Q18" s="164" t="str">
        <f t="shared" si="8"/>
        <v/>
      </c>
      <c r="R18" s="164" t="str">
        <f t="shared" si="9"/>
        <v/>
      </c>
      <c r="S18" s="164" t="str">
        <f t="shared" si="10"/>
        <v/>
      </c>
      <c r="T18" s="164" t="str">
        <f t="shared" si="11"/>
        <v/>
      </c>
      <c r="U18" s="164" t="str">
        <f t="shared" si="12"/>
        <v/>
      </c>
      <c r="V18" s="164" t="str">
        <f t="shared" si="13"/>
        <v/>
      </c>
      <c r="W18" s="164" t="str">
        <f t="shared" si="14"/>
        <v/>
      </c>
      <c r="X18" s="164" t="str">
        <f t="shared" si="15"/>
        <v/>
      </c>
      <c r="Z18" s="164" t="str">
        <f t="shared" si="16"/>
        <v>J1</v>
      </c>
      <c r="AA18" s="164" t="str">
        <f t="shared" si="17"/>
        <v>J2</v>
      </c>
      <c r="AB18" s="164" t="str">
        <f t="shared" si="18"/>
        <v/>
      </c>
      <c r="AC18" s="164" t="str">
        <f t="shared" si="19"/>
        <v/>
      </c>
      <c r="AD18" s="164" t="str">
        <f t="shared" si="20"/>
        <v/>
      </c>
      <c r="AE18" s="164" t="str">
        <f t="shared" si="21"/>
        <v/>
      </c>
      <c r="AF18" s="164" t="str">
        <f t="shared" si="22"/>
        <v/>
      </c>
      <c r="AG18" s="164" t="str">
        <f t="shared" si="23"/>
        <v/>
      </c>
      <c r="AH18" s="164" t="str">
        <f t="shared" si="24"/>
        <v/>
      </c>
      <c r="AI18" s="164" t="str">
        <f t="shared" si="25"/>
        <v/>
      </c>
    </row>
    <row r="19" spans="1:35" x14ac:dyDescent="0.2">
      <c r="A19" s="156">
        <v>17</v>
      </c>
      <c r="B19" s="152" t="s">
        <v>241</v>
      </c>
      <c r="C19" s="152" t="s">
        <v>242</v>
      </c>
      <c r="D19" s="200">
        <v>1</v>
      </c>
      <c r="E19" s="200">
        <v>1</v>
      </c>
      <c r="F19" s="200"/>
      <c r="G19" s="170">
        <f t="shared" si="0"/>
        <v>2</v>
      </c>
      <c r="H19" s="188"/>
      <c r="I19" t="str">
        <f t="shared" si="1"/>
        <v/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>M1</v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">
      <c r="A20" s="162">
        <v>18</v>
      </c>
      <c r="B20" s="163" t="s">
        <v>243</v>
      </c>
      <c r="C20" s="163" t="s">
        <v>244</v>
      </c>
      <c r="D20" s="201">
        <v>2</v>
      </c>
      <c r="E20" s="201">
        <v>1</v>
      </c>
      <c r="F20" s="201"/>
      <c r="G20" s="192">
        <f t="shared" si="0"/>
        <v>3</v>
      </c>
      <c r="H20" s="188"/>
      <c r="I20" s="164" t="str">
        <f t="shared" si="1"/>
        <v/>
      </c>
      <c r="J20" s="164" t="str">
        <f t="shared" si="2"/>
        <v/>
      </c>
      <c r="K20" s="164" t="str">
        <f t="shared" si="3"/>
        <v/>
      </c>
      <c r="L20" s="164" t="str">
        <f t="shared" si="4"/>
        <v/>
      </c>
      <c r="M20" s="164" t="str">
        <f t="shared" si="5"/>
        <v/>
      </c>
      <c r="O20" s="164" t="str">
        <f t="shared" si="6"/>
        <v>M1</v>
      </c>
      <c r="P20" s="164" t="str">
        <f t="shared" si="7"/>
        <v/>
      </c>
      <c r="Q20" s="164" t="str">
        <f t="shared" si="8"/>
        <v/>
      </c>
      <c r="R20" s="164" t="str">
        <f t="shared" si="9"/>
        <v/>
      </c>
      <c r="S20" s="164" t="str">
        <f t="shared" si="10"/>
        <v/>
      </c>
      <c r="T20" s="164" t="str">
        <f t="shared" si="11"/>
        <v/>
      </c>
      <c r="U20" s="164" t="str">
        <f t="shared" si="12"/>
        <v/>
      </c>
      <c r="V20" s="164" t="str">
        <f t="shared" si="13"/>
        <v/>
      </c>
      <c r="W20" s="164" t="str">
        <f t="shared" si="14"/>
        <v/>
      </c>
      <c r="X20" s="164" t="str">
        <f t="shared" si="15"/>
        <v/>
      </c>
      <c r="Z20" s="164" t="str">
        <f t="shared" si="16"/>
        <v>J1</v>
      </c>
      <c r="AA20" s="164" t="str">
        <f t="shared" si="17"/>
        <v>J2</v>
      </c>
      <c r="AB20" s="164" t="str">
        <f t="shared" si="18"/>
        <v/>
      </c>
      <c r="AC20" s="164" t="str">
        <f t="shared" si="19"/>
        <v/>
      </c>
      <c r="AD20" s="164" t="str">
        <f t="shared" si="20"/>
        <v/>
      </c>
      <c r="AE20" s="164" t="str">
        <f t="shared" si="21"/>
        <v/>
      </c>
      <c r="AF20" s="164" t="str">
        <f t="shared" si="22"/>
        <v/>
      </c>
      <c r="AG20" s="164" t="str">
        <f t="shared" si="23"/>
        <v/>
      </c>
      <c r="AH20" s="164" t="str">
        <f t="shared" si="24"/>
        <v/>
      </c>
      <c r="AI20" s="164" t="str">
        <f t="shared" si="25"/>
        <v/>
      </c>
    </row>
    <row r="21" spans="1:35" x14ac:dyDescent="0.2">
      <c r="A21" s="156">
        <v>19</v>
      </c>
      <c r="B21" s="152" t="s">
        <v>245</v>
      </c>
      <c r="C21" s="152" t="s">
        <v>246</v>
      </c>
      <c r="D21" s="200">
        <v>8</v>
      </c>
      <c r="E21" s="200">
        <v>9</v>
      </c>
      <c r="F21" s="200">
        <v>1</v>
      </c>
      <c r="G21" s="170">
        <f t="shared" si="0"/>
        <v>18</v>
      </c>
      <c r="H21" s="188"/>
      <c r="I21" t="str">
        <f t="shared" si="1"/>
        <v>G1</v>
      </c>
      <c r="J21" t="str">
        <f t="shared" si="2"/>
        <v/>
      </c>
      <c r="K21" t="str">
        <f t="shared" si="3"/>
        <v/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>M3</v>
      </c>
      <c r="R21" t="str">
        <f t="shared" si="9"/>
        <v>M4</v>
      </c>
      <c r="S21" t="str">
        <f t="shared" si="10"/>
        <v>M5</v>
      </c>
      <c r="T21" t="str">
        <f t="shared" si="11"/>
        <v>M6</v>
      </c>
      <c r="U21" t="str">
        <f t="shared" si="12"/>
        <v>M7</v>
      </c>
      <c r="V21" t="str">
        <f t="shared" si="13"/>
        <v>M8</v>
      </c>
      <c r="W21" t="str">
        <f t="shared" si="14"/>
        <v>M9</v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/>
      </c>
      <c r="AI21" t="str">
        <f t="shared" si="25"/>
        <v/>
      </c>
    </row>
    <row r="22" spans="1:35" x14ac:dyDescent="0.2">
      <c r="A22" s="162">
        <v>20</v>
      </c>
      <c r="B22" s="163" t="s">
        <v>247</v>
      </c>
      <c r="C22" s="163" t="s">
        <v>248</v>
      </c>
      <c r="D22" s="201">
        <v>3</v>
      </c>
      <c r="E22" s="201">
        <v>2</v>
      </c>
      <c r="F22" s="201">
        <v>2</v>
      </c>
      <c r="G22" s="192">
        <f t="shared" si="0"/>
        <v>7</v>
      </c>
      <c r="H22" s="188"/>
      <c r="I22" s="164" t="str">
        <f t="shared" si="1"/>
        <v>G1</v>
      </c>
      <c r="J22" s="164" t="str">
        <f t="shared" si="2"/>
        <v>G2</v>
      </c>
      <c r="K22" s="164" t="str">
        <f t="shared" si="3"/>
        <v/>
      </c>
      <c r="L22" s="164" t="str">
        <f t="shared" si="4"/>
        <v/>
      </c>
      <c r="M22" s="164" t="str">
        <f t="shared" si="5"/>
        <v/>
      </c>
      <c r="O22" s="164" t="str">
        <f t="shared" si="6"/>
        <v>M1</v>
      </c>
      <c r="P22" s="164" t="str">
        <f t="shared" si="7"/>
        <v>M2</v>
      </c>
      <c r="Q22" s="164" t="str">
        <f t="shared" si="8"/>
        <v/>
      </c>
      <c r="R22" s="164" t="str">
        <f t="shared" si="9"/>
        <v/>
      </c>
      <c r="S22" s="164" t="str">
        <f t="shared" si="10"/>
        <v/>
      </c>
      <c r="T22" s="164" t="str">
        <f t="shared" si="11"/>
        <v/>
      </c>
      <c r="U22" s="164" t="str">
        <f t="shared" si="12"/>
        <v/>
      </c>
      <c r="V22" s="164" t="str">
        <f t="shared" si="13"/>
        <v/>
      </c>
      <c r="W22" s="164" t="str">
        <f t="shared" si="14"/>
        <v/>
      </c>
      <c r="X22" s="164" t="str">
        <f t="shared" si="15"/>
        <v/>
      </c>
      <c r="Z22" s="164" t="str">
        <f t="shared" si="16"/>
        <v>J1</v>
      </c>
      <c r="AA22" s="164" t="str">
        <f t="shared" si="17"/>
        <v>J2</v>
      </c>
      <c r="AB22" s="164" t="str">
        <f t="shared" si="18"/>
        <v>J3</v>
      </c>
      <c r="AC22" s="164" t="str">
        <f t="shared" si="19"/>
        <v/>
      </c>
      <c r="AD22" s="164" t="str">
        <f t="shared" si="20"/>
        <v/>
      </c>
      <c r="AE22" s="164" t="str">
        <f t="shared" si="21"/>
        <v/>
      </c>
      <c r="AF22" s="164" t="str">
        <f t="shared" si="22"/>
        <v/>
      </c>
      <c r="AG22" s="164" t="str">
        <f t="shared" si="23"/>
        <v/>
      </c>
      <c r="AH22" s="164" t="str">
        <f t="shared" si="24"/>
        <v/>
      </c>
      <c r="AI22" s="164" t="str">
        <f t="shared" si="25"/>
        <v/>
      </c>
    </row>
    <row r="23" spans="1:35" x14ac:dyDescent="0.2">
      <c r="A23" s="156">
        <v>21</v>
      </c>
      <c r="B23" s="152" t="s">
        <v>249</v>
      </c>
      <c r="C23" s="154" t="s">
        <v>250</v>
      </c>
      <c r="D23" s="200">
        <v>1</v>
      </c>
      <c r="E23" s="202"/>
      <c r="F23" s="202"/>
      <c r="G23" s="170">
        <f t="shared" si="0"/>
        <v>1</v>
      </c>
      <c r="H23" s="194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>J1</v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">
      <c r="A24" s="162">
        <v>22</v>
      </c>
      <c r="B24" s="163" t="s">
        <v>251</v>
      </c>
      <c r="C24" s="163" t="s">
        <v>252</v>
      </c>
      <c r="D24" s="201">
        <v>1</v>
      </c>
      <c r="E24" s="201"/>
      <c r="F24" s="201">
        <v>1</v>
      </c>
      <c r="G24" s="192">
        <f t="shared" si="0"/>
        <v>2</v>
      </c>
      <c r="H24" s="188"/>
      <c r="I24" s="164" t="str">
        <f t="shared" si="1"/>
        <v>G1</v>
      </c>
      <c r="J24" s="164" t="str">
        <f t="shared" si="2"/>
        <v/>
      </c>
      <c r="K24" s="164" t="str">
        <f t="shared" si="3"/>
        <v/>
      </c>
      <c r="L24" s="164" t="str">
        <f t="shared" si="4"/>
        <v/>
      </c>
      <c r="M24" s="164" t="str">
        <f t="shared" si="5"/>
        <v/>
      </c>
      <c r="O24" s="164" t="str">
        <f t="shared" si="6"/>
        <v/>
      </c>
      <c r="P24" s="164" t="str">
        <f t="shared" si="7"/>
        <v/>
      </c>
      <c r="Q24" s="164" t="str">
        <f t="shared" si="8"/>
        <v/>
      </c>
      <c r="R24" s="164" t="str">
        <f t="shared" si="9"/>
        <v/>
      </c>
      <c r="S24" s="164" t="str">
        <f t="shared" si="10"/>
        <v/>
      </c>
      <c r="T24" s="164" t="str">
        <f t="shared" si="11"/>
        <v/>
      </c>
      <c r="U24" s="164" t="str">
        <f t="shared" si="12"/>
        <v/>
      </c>
      <c r="V24" s="164" t="str">
        <f t="shared" si="13"/>
        <v/>
      </c>
      <c r="W24" s="164" t="str">
        <f t="shared" si="14"/>
        <v/>
      </c>
      <c r="X24" s="164" t="str">
        <f t="shared" si="15"/>
        <v/>
      </c>
      <c r="Z24" s="164" t="str">
        <f t="shared" si="16"/>
        <v>J1</v>
      </c>
      <c r="AA24" s="164" t="str">
        <f t="shared" si="17"/>
        <v/>
      </c>
      <c r="AB24" s="164" t="str">
        <f t="shared" si="18"/>
        <v/>
      </c>
      <c r="AC24" s="164" t="str">
        <f t="shared" si="19"/>
        <v/>
      </c>
      <c r="AD24" s="164" t="str">
        <f t="shared" si="20"/>
        <v/>
      </c>
      <c r="AE24" s="164" t="str">
        <f t="shared" si="21"/>
        <v/>
      </c>
      <c r="AF24" s="164" t="str">
        <f t="shared" si="22"/>
        <v/>
      </c>
      <c r="AG24" s="164" t="str">
        <f t="shared" si="23"/>
        <v/>
      </c>
      <c r="AH24" s="164" t="str">
        <f t="shared" si="24"/>
        <v/>
      </c>
      <c r="AI24" s="164" t="str">
        <f t="shared" si="25"/>
        <v/>
      </c>
    </row>
    <row r="25" spans="1:35" x14ac:dyDescent="0.2">
      <c r="A25" s="156">
        <v>23</v>
      </c>
      <c r="B25" s="152" t="s">
        <v>253</v>
      </c>
      <c r="C25" s="152" t="s">
        <v>254</v>
      </c>
      <c r="D25" s="200">
        <v>6</v>
      </c>
      <c r="E25" s="200">
        <v>4</v>
      </c>
      <c r="F25" s="200">
        <v>2</v>
      </c>
      <c r="G25" s="170">
        <f t="shared" si="0"/>
        <v>12</v>
      </c>
      <c r="H25" s="188"/>
      <c r="I25" t="str">
        <f t="shared" si="1"/>
        <v>G1</v>
      </c>
      <c r="J25" t="str">
        <f t="shared" si="2"/>
        <v>G2</v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>M2</v>
      </c>
      <c r="Q25" t="str">
        <f t="shared" si="8"/>
        <v>M3</v>
      </c>
      <c r="R25" t="str">
        <f t="shared" si="9"/>
        <v>M4</v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>J3</v>
      </c>
      <c r="AC25" t="str">
        <f t="shared" si="19"/>
        <v>J4</v>
      </c>
      <c r="AD25" t="str">
        <f t="shared" si="20"/>
        <v>J5</v>
      </c>
      <c r="AE25" t="str">
        <f t="shared" si="21"/>
        <v>J6</v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">
      <c r="A26" s="162">
        <v>24</v>
      </c>
      <c r="B26" s="191" t="s">
        <v>255</v>
      </c>
      <c r="C26" s="191" t="s">
        <v>256</v>
      </c>
      <c r="D26" s="201">
        <v>1</v>
      </c>
      <c r="E26" s="203"/>
      <c r="F26" s="201"/>
      <c r="G26" s="192">
        <f t="shared" si="0"/>
        <v>1</v>
      </c>
      <c r="H26" s="188"/>
      <c r="I26" s="164" t="str">
        <f t="shared" si="1"/>
        <v/>
      </c>
      <c r="J26" s="164" t="str">
        <f t="shared" si="2"/>
        <v/>
      </c>
      <c r="K26" s="164" t="str">
        <f t="shared" si="3"/>
        <v/>
      </c>
      <c r="L26" s="164" t="str">
        <f t="shared" si="4"/>
        <v/>
      </c>
      <c r="M26" s="164" t="str">
        <f t="shared" si="5"/>
        <v/>
      </c>
      <c r="O26" s="164" t="str">
        <f t="shared" si="6"/>
        <v/>
      </c>
      <c r="P26" s="164" t="str">
        <f t="shared" si="7"/>
        <v/>
      </c>
      <c r="Q26" s="164" t="str">
        <f t="shared" si="8"/>
        <v/>
      </c>
      <c r="R26" s="164" t="str">
        <f t="shared" si="9"/>
        <v/>
      </c>
      <c r="S26" s="164" t="str">
        <f t="shared" si="10"/>
        <v/>
      </c>
      <c r="T26" s="164" t="str">
        <f t="shared" si="11"/>
        <v/>
      </c>
      <c r="U26" s="164" t="str">
        <f t="shared" si="12"/>
        <v/>
      </c>
      <c r="V26" s="164" t="str">
        <f t="shared" si="13"/>
        <v/>
      </c>
      <c r="W26" s="164" t="str">
        <f t="shared" si="14"/>
        <v/>
      </c>
      <c r="X26" s="164" t="str">
        <f t="shared" si="15"/>
        <v/>
      </c>
      <c r="Z26" s="164" t="str">
        <f t="shared" si="16"/>
        <v>J1</v>
      </c>
      <c r="AA26" s="164" t="str">
        <f t="shared" si="17"/>
        <v/>
      </c>
      <c r="AB26" s="164" t="str">
        <f t="shared" si="18"/>
        <v/>
      </c>
      <c r="AC26" s="164" t="str">
        <f t="shared" si="19"/>
        <v/>
      </c>
      <c r="AD26" s="164" t="str">
        <f t="shared" si="20"/>
        <v/>
      </c>
      <c r="AE26" s="164" t="str">
        <f t="shared" si="21"/>
        <v/>
      </c>
      <c r="AF26" s="164" t="str">
        <f t="shared" si="22"/>
        <v/>
      </c>
      <c r="AG26" s="164" t="str">
        <f t="shared" si="23"/>
        <v/>
      </c>
      <c r="AH26" s="164" t="str">
        <f t="shared" si="24"/>
        <v/>
      </c>
      <c r="AI26" s="164" t="str">
        <f t="shared" si="25"/>
        <v/>
      </c>
    </row>
    <row r="27" spans="1:35" x14ac:dyDescent="0.2">
      <c r="A27" s="156">
        <v>25</v>
      </c>
      <c r="B27" s="152" t="s">
        <v>257</v>
      </c>
      <c r="C27" s="152" t="s">
        <v>258</v>
      </c>
      <c r="D27" s="200">
        <v>2</v>
      </c>
      <c r="E27" s="200">
        <v>2</v>
      </c>
      <c r="F27" s="200"/>
      <c r="G27" s="170">
        <f t="shared" si="0"/>
        <v>4</v>
      </c>
      <c r="H27" s="188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/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">
      <c r="A28" s="162">
        <v>26</v>
      </c>
      <c r="B28" s="163" t="s">
        <v>259</v>
      </c>
      <c r="C28" s="163" t="s">
        <v>260</v>
      </c>
      <c r="D28" s="201">
        <v>2</v>
      </c>
      <c r="E28" s="201">
        <v>1</v>
      </c>
      <c r="F28" s="201"/>
      <c r="G28" s="192">
        <f t="shared" si="0"/>
        <v>3</v>
      </c>
      <c r="H28" s="188"/>
      <c r="I28" s="164" t="str">
        <f t="shared" si="1"/>
        <v/>
      </c>
      <c r="J28" s="164" t="str">
        <f t="shared" si="2"/>
        <v/>
      </c>
      <c r="K28" s="164" t="str">
        <f t="shared" si="3"/>
        <v/>
      </c>
      <c r="L28" s="164" t="str">
        <f t="shared" si="4"/>
        <v/>
      </c>
      <c r="M28" s="164" t="str">
        <f t="shared" si="5"/>
        <v/>
      </c>
      <c r="O28" s="164" t="str">
        <f t="shared" si="6"/>
        <v>M1</v>
      </c>
      <c r="P28" s="164" t="str">
        <f t="shared" si="7"/>
        <v/>
      </c>
      <c r="Q28" s="164" t="str">
        <f t="shared" si="8"/>
        <v/>
      </c>
      <c r="R28" s="164" t="str">
        <f t="shared" si="9"/>
        <v/>
      </c>
      <c r="S28" s="164" t="str">
        <f t="shared" si="10"/>
        <v/>
      </c>
      <c r="T28" s="164" t="str">
        <f t="shared" si="11"/>
        <v/>
      </c>
      <c r="U28" s="164" t="str">
        <f t="shared" si="12"/>
        <v/>
      </c>
      <c r="V28" s="164" t="str">
        <f t="shared" si="13"/>
        <v/>
      </c>
      <c r="W28" s="164" t="str">
        <f t="shared" si="14"/>
        <v/>
      </c>
      <c r="X28" s="164" t="str">
        <f t="shared" si="15"/>
        <v/>
      </c>
      <c r="Z28" s="164" t="str">
        <f t="shared" si="16"/>
        <v>J1</v>
      </c>
      <c r="AA28" s="164" t="str">
        <f t="shared" si="17"/>
        <v>J2</v>
      </c>
      <c r="AB28" s="164" t="str">
        <f t="shared" si="18"/>
        <v/>
      </c>
      <c r="AC28" s="164" t="str">
        <f t="shared" si="19"/>
        <v/>
      </c>
      <c r="AD28" s="164" t="str">
        <f t="shared" si="20"/>
        <v/>
      </c>
      <c r="AE28" s="164" t="str">
        <f t="shared" si="21"/>
        <v/>
      </c>
      <c r="AF28" s="164" t="str">
        <f t="shared" si="22"/>
        <v/>
      </c>
      <c r="AG28" s="164" t="str">
        <f t="shared" si="23"/>
        <v/>
      </c>
      <c r="AH28" s="164" t="str">
        <f t="shared" si="24"/>
        <v/>
      </c>
      <c r="AI28" s="164" t="str">
        <f t="shared" si="25"/>
        <v/>
      </c>
    </row>
    <row r="29" spans="1:35" x14ac:dyDescent="0.2">
      <c r="A29" s="156">
        <v>27</v>
      </c>
      <c r="B29" s="152" t="s">
        <v>261</v>
      </c>
      <c r="C29" s="152" t="s">
        <v>261</v>
      </c>
      <c r="D29" s="200">
        <v>7</v>
      </c>
      <c r="E29" s="200">
        <v>3</v>
      </c>
      <c r="F29" s="200"/>
      <c r="G29" s="170">
        <f t="shared" si="0"/>
        <v>10</v>
      </c>
      <c r="H29" s="188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>M1</v>
      </c>
      <c r="P29" t="str">
        <f t="shared" si="7"/>
        <v>M2</v>
      </c>
      <c r="Q29" t="str">
        <f t="shared" si="8"/>
        <v>M3</v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>J4</v>
      </c>
      <c r="AD29" t="str">
        <f t="shared" si="20"/>
        <v>J5</v>
      </c>
      <c r="AE29" t="str">
        <f t="shared" si="21"/>
        <v>J6</v>
      </c>
      <c r="AF29" t="str">
        <f t="shared" si="22"/>
        <v>J7</v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">
      <c r="A30" s="162">
        <v>28</v>
      </c>
      <c r="B30" s="163" t="s">
        <v>262</v>
      </c>
      <c r="C30" s="163" t="s">
        <v>263</v>
      </c>
      <c r="D30" s="201">
        <v>4</v>
      </c>
      <c r="E30" s="201"/>
      <c r="F30" s="201"/>
      <c r="G30" s="192">
        <f t="shared" si="0"/>
        <v>4</v>
      </c>
      <c r="H30" s="188"/>
      <c r="I30" s="164" t="str">
        <f t="shared" si="1"/>
        <v/>
      </c>
      <c r="J30" s="164" t="str">
        <f t="shared" si="2"/>
        <v/>
      </c>
      <c r="K30" s="164" t="str">
        <f t="shared" si="3"/>
        <v/>
      </c>
      <c r="L30" s="164" t="str">
        <f t="shared" si="4"/>
        <v/>
      </c>
      <c r="M30" s="164" t="str">
        <f t="shared" si="5"/>
        <v/>
      </c>
      <c r="O30" s="164" t="str">
        <f t="shared" si="6"/>
        <v/>
      </c>
      <c r="P30" s="164" t="str">
        <f t="shared" si="7"/>
        <v/>
      </c>
      <c r="Q30" s="164" t="str">
        <f t="shared" si="8"/>
        <v/>
      </c>
      <c r="R30" s="164" t="str">
        <f t="shared" si="9"/>
        <v/>
      </c>
      <c r="S30" s="164" t="str">
        <f t="shared" si="10"/>
        <v/>
      </c>
      <c r="T30" s="164" t="str">
        <f t="shared" si="11"/>
        <v/>
      </c>
      <c r="U30" s="164" t="str">
        <f t="shared" si="12"/>
        <v/>
      </c>
      <c r="V30" s="164" t="str">
        <f t="shared" si="13"/>
        <v/>
      </c>
      <c r="W30" s="164" t="str">
        <f t="shared" si="14"/>
        <v/>
      </c>
      <c r="X30" s="164" t="str">
        <f t="shared" si="15"/>
        <v/>
      </c>
      <c r="Z30" s="164" t="str">
        <f t="shared" si="16"/>
        <v>J1</v>
      </c>
      <c r="AA30" s="164" t="str">
        <f t="shared" si="17"/>
        <v>J2</v>
      </c>
      <c r="AB30" s="164" t="str">
        <f t="shared" si="18"/>
        <v>J3</v>
      </c>
      <c r="AC30" s="164" t="str">
        <f t="shared" si="19"/>
        <v>J4</v>
      </c>
      <c r="AD30" s="164" t="str">
        <f t="shared" si="20"/>
        <v/>
      </c>
      <c r="AE30" s="164" t="str">
        <f t="shared" si="21"/>
        <v/>
      </c>
      <c r="AF30" s="164" t="str">
        <f t="shared" si="22"/>
        <v/>
      </c>
      <c r="AG30" s="164" t="str">
        <f t="shared" si="23"/>
        <v/>
      </c>
      <c r="AH30" s="164" t="str">
        <f t="shared" si="24"/>
        <v/>
      </c>
      <c r="AI30" s="164" t="str">
        <f t="shared" si="25"/>
        <v/>
      </c>
    </row>
    <row r="31" spans="1:35" x14ac:dyDescent="0.2">
      <c r="A31" s="189">
        <v>29</v>
      </c>
      <c r="B31" s="190" t="s">
        <v>264</v>
      </c>
      <c r="C31" s="190" t="s">
        <v>265</v>
      </c>
      <c r="D31" s="204">
        <v>5</v>
      </c>
      <c r="E31" s="204">
        <v>3</v>
      </c>
      <c r="F31" s="204"/>
      <c r="G31" s="170">
        <f t="shared" si="0"/>
        <v>8</v>
      </c>
      <c r="H31" s="188"/>
      <c r="I31" t="str">
        <f t="shared" si="1"/>
        <v/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>M2</v>
      </c>
      <c r="Q31" t="str">
        <f t="shared" si="8"/>
        <v>M3</v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>J4</v>
      </c>
      <c r="AD31" t="str">
        <f t="shared" si="20"/>
        <v>J5</v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">
      <c r="A32" s="165">
        <v>30</v>
      </c>
      <c r="B32" s="187" t="s">
        <v>266</v>
      </c>
      <c r="C32" s="187" t="s">
        <v>267</v>
      </c>
      <c r="D32" s="205"/>
      <c r="E32" s="205">
        <v>2</v>
      </c>
      <c r="F32" s="205"/>
      <c r="G32" s="192">
        <f t="shared" ref="G32" si="26">SUM(D32:F32)</f>
        <v>2</v>
      </c>
      <c r="H32" s="188"/>
      <c r="I32" s="164" t="str">
        <f t="shared" si="1"/>
        <v/>
      </c>
      <c r="J32" s="164" t="str">
        <f t="shared" si="2"/>
        <v/>
      </c>
      <c r="K32" s="164" t="str">
        <f t="shared" si="3"/>
        <v/>
      </c>
      <c r="L32" s="164" t="str">
        <f t="shared" si="4"/>
        <v/>
      </c>
      <c r="M32" s="164" t="str">
        <f t="shared" si="5"/>
        <v/>
      </c>
      <c r="O32" s="164" t="str">
        <f t="shared" si="6"/>
        <v>M1</v>
      </c>
      <c r="P32" s="164" t="str">
        <f t="shared" si="7"/>
        <v>M2</v>
      </c>
      <c r="Q32" s="164" t="str">
        <f t="shared" si="8"/>
        <v/>
      </c>
      <c r="R32" s="164" t="str">
        <f t="shared" si="9"/>
        <v/>
      </c>
      <c r="S32" s="164" t="str">
        <f t="shared" si="10"/>
        <v/>
      </c>
      <c r="T32" s="164" t="str">
        <f t="shared" si="11"/>
        <v/>
      </c>
      <c r="U32" s="164" t="str">
        <f t="shared" si="12"/>
        <v/>
      </c>
      <c r="V32" s="164" t="str">
        <f t="shared" si="13"/>
        <v/>
      </c>
      <c r="W32" s="164" t="str">
        <f t="shared" si="14"/>
        <v/>
      </c>
      <c r="X32" s="164" t="str">
        <f t="shared" si="15"/>
        <v/>
      </c>
      <c r="Z32" s="164" t="str">
        <f t="shared" si="16"/>
        <v/>
      </c>
      <c r="AA32" s="164" t="str">
        <f t="shared" si="17"/>
        <v/>
      </c>
      <c r="AB32" s="164" t="str">
        <f t="shared" si="18"/>
        <v/>
      </c>
      <c r="AC32" s="164" t="str">
        <f t="shared" si="19"/>
        <v/>
      </c>
      <c r="AD32" s="164" t="str">
        <f t="shared" si="20"/>
        <v/>
      </c>
      <c r="AE32" s="164" t="str">
        <f t="shared" si="21"/>
        <v/>
      </c>
      <c r="AF32" s="164" t="str">
        <f t="shared" si="22"/>
        <v/>
      </c>
      <c r="AG32" s="164" t="str">
        <f t="shared" si="23"/>
        <v/>
      </c>
      <c r="AH32" s="164" t="str">
        <f t="shared" si="24"/>
        <v/>
      </c>
      <c r="AI32" s="164" t="str">
        <f t="shared" si="25"/>
        <v/>
      </c>
    </row>
    <row r="34" spans="9:35" x14ac:dyDescent="0.2">
      <c r="I34" s="155"/>
      <c r="J34" s="155"/>
      <c r="K34" s="155"/>
      <c r="L34" s="155"/>
      <c r="O34" s="155"/>
      <c r="P34" s="155"/>
      <c r="Q34" s="155"/>
      <c r="R34" s="155"/>
      <c r="S34" s="155"/>
      <c r="T34" s="155"/>
      <c r="U34" s="155"/>
      <c r="V34" s="155"/>
      <c r="W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 s="155"/>
    </row>
  </sheetData>
  <conditionalFormatting sqref="I2:AH31">
    <cfRule type="expression" dxfId="3" priority="5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5" right="0.25" top="0.75" bottom="0.75" header="0.3" footer="0.3"/>
  <pageSetup scale="84" orientation="landscape" r:id="rId1"/>
  <ignoredErrors>
    <ignoredError sqref="P3 AA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B99E-0C04-4559-BD9C-2990C02D637D}">
  <sheetPr codeName="Sheet2"/>
  <dimension ref="A1:M31"/>
  <sheetViews>
    <sheetView topLeftCell="B10" workbookViewId="0">
      <selection activeCell="F23" sqref="F23"/>
    </sheetView>
  </sheetViews>
  <sheetFormatPr defaultRowHeight="12.75" x14ac:dyDescent="0.2"/>
  <cols>
    <col min="1" max="1" width="4.7109375" bestFit="1" customWidth="1"/>
    <col min="2" max="2" width="26" bestFit="1" customWidth="1"/>
    <col min="3" max="3" width="12.140625" bestFit="1" customWidth="1"/>
    <col min="4" max="4" width="3.7109375" customWidth="1"/>
    <col min="5" max="7" width="10.28515625" customWidth="1"/>
    <col min="8" max="8" width="2.7109375" customWidth="1"/>
    <col min="12" max="12" width="2.7109375" customWidth="1"/>
  </cols>
  <sheetData>
    <row r="1" spans="1:13" x14ac:dyDescent="0.2">
      <c r="E1" s="111" t="s">
        <v>268</v>
      </c>
      <c r="I1" s="111" t="s">
        <v>269</v>
      </c>
      <c r="M1" s="111" t="s">
        <v>270</v>
      </c>
    </row>
    <row r="2" spans="1:13" x14ac:dyDescent="0.2">
      <c r="A2" s="158" t="s">
        <v>180</v>
      </c>
      <c r="B2" s="159" t="s">
        <v>181</v>
      </c>
      <c r="C2" s="159" t="s">
        <v>182</v>
      </c>
      <c r="E2" s="168" t="s">
        <v>271</v>
      </c>
      <c r="F2" s="168" t="s">
        <v>272</v>
      </c>
      <c r="G2" s="168" t="s">
        <v>273</v>
      </c>
      <c r="I2" s="168" t="s">
        <v>271</v>
      </c>
      <c r="J2" s="168" t="s">
        <v>272</v>
      </c>
      <c r="K2" s="168" t="s">
        <v>273</v>
      </c>
      <c r="M2" s="168" t="s">
        <v>183</v>
      </c>
    </row>
    <row r="3" spans="1:13" x14ac:dyDescent="0.2">
      <c r="A3" s="156">
        <v>1</v>
      </c>
      <c r="B3" s="152" t="s">
        <v>209</v>
      </c>
      <c r="C3" s="152" t="s">
        <v>210</v>
      </c>
      <c r="E3" s="167"/>
      <c r="F3" s="167"/>
      <c r="G3" s="167"/>
      <c r="I3" s="167"/>
      <c r="J3" s="167"/>
      <c r="K3" s="167"/>
      <c r="M3" s="167" t="e">
        <f t="shared" ref="M3:M30" si="0">SUM($E3:$G3)/SUM(I3:K3)</f>
        <v>#DIV/0!</v>
      </c>
    </row>
    <row r="4" spans="1:13" x14ac:dyDescent="0.2">
      <c r="A4" s="162">
        <v>2</v>
      </c>
      <c r="B4" s="163" t="s">
        <v>211</v>
      </c>
      <c r="C4" s="163" t="s">
        <v>212</v>
      </c>
      <c r="E4" s="167"/>
      <c r="F4" s="167"/>
      <c r="G4" s="167"/>
      <c r="I4" s="167"/>
      <c r="J4" s="167"/>
      <c r="K4" s="167"/>
      <c r="M4" s="167" t="e">
        <f t="shared" si="0"/>
        <v>#DIV/0!</v>
      </c>
    </row>
    <row r="5" spans="1:13" x14ac:dyDescent="0.2">
      <c r="A5" s="156">
        <v>3</v>
      </c>
      <c r="B5" s="152" t="s">
        <v>213</v>
      </c>
      <c r="C5" s="152" t="s">
        <v>214</v>
      </c>
      <c r="E5" s="167"/>
      <c r="F5" s="167"/>
      <c r="G5" s="167"/>
      <c r="I5" s="167"/>
      <c r="J5" s="167"/>
      <c r="K5" s="167"/>
      <c r="M5" s="167" t="e">
        <f t="shared" si="0"/>
        <v>#DIV/0!</v>
      </c>
    </row>
    <row r="6" spans="1:13" x14ac:dyDescent="0.2">
      <c r="A6" s="162">
        <v>4</v>
      </c>
      <c r="B6" s="163" t="s">
        <v>215</v>
      </c>
      <c r="C6" s="163" t="s">
        <v>216</v>
      </c>
      <c r="E6" s="167"/>
      <c r="F6" s="167"/>
      <c r="G6" s="167"/>
      <c r="I6" s="167"/>
      <c r="J6" s="167"/>
      <c r="K6" s="167"/>
      <c r="M6" s="167" t="e">
        <f t="shared" si="0"/>
        <v>#DIV/0!</v>
      </c>
    </row>
    <row r="7" spans="1:13" x14ac:dyDescent="0.2">
      <c r="A7" s="156">
        <v>5</v>
      </c>
      <c r="B7" s="152" t="s">
        <v>217</v>
      </c>
      <c r="C7" s="152" t="s">
        <v>218</v>
      </c>
      <c r="E7" s="167"/>
      <c r="F7" s="167"/>
      <c r="G7" s="167"/>
      <c r="I7" s="167"/>
      <c r="J7" s="167"/>
      <c r="K7" s="167"/>
      <c r="M7" s="167" t="e">
        <f t="shared" si="0"/>
        <v>#DIV/0!</v>
      </c>
    </row>
    <row r="8" spans="1:13" x14ac:dyDescent="0.2">
      <c r="A8" s="162">
        <v>6</v>
      </c>
      <c r="B8" s="163" t="s">
        <v>219</v>
      </c>
      <c r="C8" s="163" t="s">
        <v>220</v>
      </c>
      <c r="E8" s="167"/>
      <c r="F8" s="167"/>
      <c r="G8" s="167"/>
      <c r="I8" s="167"/>
      <c r="J8" s="167"/>
      <c r="K8" s="167"/>
      <c r="M8" s="167" t="e">
        <f t="shared" si="0"/>
        <v>#DIV/0!</v>
      </c>
    </row>
    <row r="9" spans="1:13" x14ac:dyDescent="0.2">
      <c r="A9" s="156">
        <v>7</v>
      </c>
      <c r="B9" s="152" t="s">
        <v>221</v>
      </c>
      <c r="C9" s="152" t="s">
        <v>222</v>
      </c>
      <c r="E9" s="167"/>
      <c r="F9" s="167"/>
      <c r="G9" s="167"/>
      <c r="I9" s="167"/>
      <c r="J9" s="167"/>
      <c r="K9" s="167"/>
      <c r="M9" s="167" t="e">
        <f t="shared" si="0"/>
        <v>#DIV/0!</v>
      </c>
    </row>
    <row r="10" spans="1:13" x14ac:dyDescent="0.2">
      <c r="A10" s="162">
        <v>8</v>
      </c>
      <c r="B10" s="163" t="s">
        <v>223</v>
      </c>
      <c r="C10" s="163" t="s">
        <v>224</v>
      </c>
      <c r="E10" s="167"/>
      <c r="F10" s="167"/>
      <c r="G10" s="167"/>
      <c r="I10" s="167"/>
      <c r="J10" s="167"/>
      <c r="K10" s="167"/>
      <c r="M10" s="167" t="e">
        <f t="shared" si="0"/>
        <v>#DIV/0!</v>
      </c>
    </row>
    <row r="11" spans="1:13" x14ac:dyDescent="0.2">
      <c r="A11" s="156">
        <v>9</v>
      </c>
      <c r="B11" s="152" t="s">
        <v>225</v>
      </c>
      <c r="C11" s="152" t="s">
        <v>226</v>
      </c>
      <c r="E11" s="167"/>
      <c r="F11" s="167"/>
      <c r="G11" s="167"/>
      <c r="I11" s="167"/>
      <c r="J11" s="167"/>
      <c r="K11" s="167"/>
      <c r="M11" s="167" t="e">
        <f t="shared" si="0"/>
        <v>#DIV/0!</v>
      </c>
    </row>
    <row r="12" spans="1:13" x14ac:dyDescent="0.2">
      <c r="A12" s="162">
        <v>10</v>
      </c>
      <c r="B12" s="163" t="s">
        <v>227</v>
      </c>
      <c r="C12" s="163" t="s">
        <v>228</v>
      </c>
      <c r="E12" s="167"/>
      <c r="F12" s="167"/>
      <c r="G12" s="167"/>
      <c r="I12" s="167"/>
      <c r="J12" s="167"/>
      <c r="K12" s="167"/>
      <c r="M12" s="167" t="e">
        <f t="shared" si="0"/>
        <v>#DIV/0!</v>
      </c>
    </row>
    <row r="13" spans="1:13" x14ac:dyDescent="0.2">
      <c r="A13" s="156">
        <v>11</v>
      </c>
      <c r="B13" s="152" t="s">
        <v>229</v>
      </c>
      <c r="C13" s="152" t="s">
        <v>230</v>
      </c>
      <c r="E13" s="167"/>
      <c r="F13" s="167"/>
      <c r="G13" s="167"/>
      <c r="I13" s="167"/>
      <c r="J13" s="167"/>
      <c r="K13" s="167"/>
      <c r="M13" s="167" t="e">
        <f t="shared" si="0"/>
        <v>#DIV/0!</v>
      </c>
    </row>
    <row r="14" spans="1:13" x14ac:dyDescent="0.2">
      <c r="A14" s="162">
        <v>12</v>
      </c>
      <c r="B14" s="163" t="s">
        <v>231</v>
      </c>
      <c r="C14" s="163" t="s">
        <v>232</v>
      </c>
      <c r="E14" s="167"/>
      <c r="F14" s="167"/>
      <c r="G14" s="167"/>
      <c r="I14" s="167"/>
      <c r="J14" s="167"/>
      <c r="K14" s="167"/>
      <c r="M14" s="167" t="e">
        <f t="shared" si="0"/>
        <v>#DIV/0!</v>
      </c>
    </row>
    <row r="15" spans="1:13" x14ac:dyDescent="0.2">
      <c r="A15" s="156">
        <v>13</v>
      </c>
      <c r="B15" s="152" t="s">
        <v>233</v>
      </c>
      <c r="C15" s="153" t="s">
        <v>234</v>
      </c>
      <c r="E15" s="167"/>
      <c r="F15" s="167"/>
      <c r="G15" s="167"/>
      <c r="I15" s="167"/>
      <c r="J15" s="167"/>
      <c r="K15" s="167"/>
      <c r="M15" s="167" t="e">
        <f t="shared" si="0"/>
        <v>#DIV/0!</v>
      </c>
    </row>
    <row r="16" spans="1:13" x14ac:dyDescent="0.2">
      <c r="A16" s="162">
        <v>14</v>
      </c>
      <c r="B16" s="163" t="s">
        <v>235</v>
      </c>
      <c r="C16" s="163" t="s">
        <v>236</v>
      </c>
      <c r="E16" s="167"/>
      <c r="F16" s="167"/>
      <c r="G16" s="167"/>
      <c r="I16" s="167"/>
      <c r="J16" s="167"/>
      <c r="K16" s="167"/>
      <c r="M16" s="167" t="e">
        <f t="shared" si="0"/>
        <v>#DIV/0!</v>
      </c>
    </row>
    <row r="17" spans="1:13" x14ac:dyDescent="0.2">
      <c r="A17" s="156">
        <v>15</v>
      </c>
      <c r="B17" s="152" t="s">
        <v>237</v>
      </c>
      <c r="C17" s="152" t="s">
        <v>238</v>
      </c>
      <c r="E17" s="167"/>
      <c r="F17" s="167"/>
      <c r="G17" s="167"/>
      <c r="I17" s="167"/>
      <c r="J17" s="167"/>
      <c r="K17" s="167"/>
      <c r="M17" s="167" t="e">
        <f t="shared" si="0"/>
        <v>#DIV/0!</v>
      </c>
    </row>
    <row r="18" spans="1:13" x14ac:dyDescent="0.2">
      <c r="A18" s="162">
        <v>16</v>
      </c>
      <c r="B18" s="163" t="s">
        <v>239</v>
      </c>
      <c r="C18" s="163" t="s">
        <v>240</v>
      </c>
      <c r="E18" s="167"/>
      <c r="F18" s="167"/>
      <c r="G18" s="167"/>
      <c r="I18" s="167"/>
      <c r="J18" s="167"/>
      <c r="K18" s="167"/>
      <c r="M18" s="167" t="e">
        <f t="shared" si="0"/>
        <v>#DIV/0!</v>
      </c>
    </row>
    <row r="19" spans="1:13" x14ac:dyDescent="0.2">
      <c r="A19" s="156">
        <v>17</v>
      </c>
      <c r="B19" s="152" t="s">
        <v>241</v>
      </c>
      <c r="C19" s="152" t="s">
        <v>242</v>
      </c>
      <c r="E19" s="167"/>
      <c r="F19" s="167"/>
      <c r="G19" s="167"/>
      <c r="I19" s="167"/>
      <c r="J19" s="167"/>
      <c r="K19" s="167"/>
      <c r="M19" s="167" t="e">
        <f t="shared" si="0"/>
        <v>#DIV/0!</v>
      </c>
    </row>
    <row r="20" spans="1:13" x14ac:dyDescent="0.2">
      <c r="A20" s="162">
        <v>18</v>
      </c>
      <c r="B20" s="163" t="s">
        <v>243</v>
      </c>
      <c r="C20" s="163" t="s">
        <v>244</v>
      </c>
      <c r="E20" s="167"/>
      <c r="F20" s="167"/>
      <c r="G20" s="167"/>
      <c r="I20" s="167"/>
      <c r="J20" s="167"/>
      <c r="K20" s="167"/>
      <c r="M20" s="167" t="e">
        <f t="shared" si="0"/>
        <v>#DIV/0!</v>
      </c>
    </row>
    <row r="21" spans="1:13" x14ac:dyDescent="0.2">
      <c r="A21" s="156">
        <v>19</v>
      </c>
      <c r="B21" s="152" t="s">
        <v>245</v>
      </c>
      <c r="C21" s="152" t="s">
        <v>246</v>
      </c>
      <c r="E21" s="167"/>
      <c r="F21" s="167"/>
      <c r="G21" s="167"/>
      <c r="I21" s="167"/>
      <c r="J21" s="167"/>
      <c r="K21" s="167"/>
      <c r="M21" s="167" t="e">
        <f t="shared" si="0"/>
        <v>#DIV/0!</v>
      </c>
    </row>
    <row r="22" spans="1:13" x14ac:dyDescent="0.2">
      <c r="A22" s="162">
        <v>20</v>
      </c>
      <c r="B22" s="163" t="s">
        <v>247</v>
      </c>
      <c r="C22" s="163" t="s">
        <v>248</v>
      </c>
      <c r="E22" s="167"/>
      <c r="F22" s="167"/>
      <c r="G22" s="167"/>
      <c r="I22" s="167"/>
      <c r="J22" s="167"/>
      <c r="K22" s="167"/>
      <c r="M22" s="167" t="e">
        <f t="shared" si="0"/>
        <v>#DIV/0!</v>
      </c>
    </row>
    <row r="23" spans="1:13" x14ac:dyDescent="0.2">
      <c r="A23" s="156">
        <v>21</v>
      </c>
      <c r="B23" s="152" t="s">
        <v>249</v>
      </c>
      <c r="C23" s="154" t="s">
        <v>250</v>
      </c>
      <c r="E23" s="167"/>
      <c r="F23" s="167"/>
      <c r="G23" s="167"/>
      <c r="I23" s="167"/>
      <c r="J23" s="167"/>
      <c r="K23" s="167"/>
      <c r="M23" s="167" t="e">
        <f t="shared" si="0"/>
        <v>#DIV/0!</v>
      </c>
    </row>
    <row r="24" spans="1:13" x14ac:dyDescent="0.2">
      <c r="A24" s="162">
        <v>22</v>
      </c>
      <c r="B24" s="163" t="s">
        <v>251</v>
      </c>
      <c r="C24" s="163" t="s">
        <v>252</v>
      </c>
      <c r="E24" s="167"/>
      <c r="F24" s="167"/>
      <c r="G24" s="167"/>
      <c r="I24" s="167"/>
      <c r="J24" s="167"/>
      <c r="K24" s="167"/>
      <c r="M24" s="167" t="e">
        <f t="shared" si="0"/>
        <v>#DIV/0!</v>
      </c>
    </row>
    <row r="25" spans="1:13" x14ac:dyDescent="0.2">
      <c r="A25" s="162"/>
      <c r="B25" s="163"/>
      <c r="C25" s="163"/>
      <c r="E25" s="167"/>
      <c r="F25" s="167"/>
      <c r="G25" s="167"/>
      <c r="I25" s="167"/>
      <c r="J25" s="167"/>
      <c r="K25" s="167"/>
      <c r="M25" s="167"/>
    </row>
    <row r="26" spans="1:13" x14ac:dyDescent="0.2">
      <c r="A26" s="156">
        <v>23</v>
      </c>
      <c r="B26" s="152" t="s">
        <v>253</v>
      </c>
      <c r="C26" s="152" t="s">
        <v>254</v>
      </c>
      <c r="E26" s="167"/>
      <c r="F26" s="167"/>
      <c r="G26" s="167"/>
      <c r="I26" s="167"/>
      <c r="J26" s="167"/>
      <c r="K26" s="167"/>
      <c r="M26" s="167" t="e">
        <f t="shared" si="0"/>
        <v>#DIV/0!</v>
      </c>
    </row>
    <row r="27" spans="1:13" x14ac:dyDescent="0.2">
      <c r="A27" s="162">
        <v>25</v>
      </c>
      <c r="B27" s="163" t="s">
        <v>257</v>
      </c>
      <c r="C27" s="163" t="s">
        <v>258</v>
      </c>
      <c r="E27" s="167"/>
      <c r="F27" s="167"/>
      <c r="G27" s="167"/>
      <c r="I27" s="167"/>
      <c r="J27" s="167"/>
      <c r="K27" s="167"/>
      <c r="M27" s="167" t="e">
        <f t="shared" si="0"/>
        <v>#DIV/0!</v>
      </c>
    </row>
    <row r="28" spans="1:13" x14ac:dyDescent="0.2">
      <c r="A28" s="156">
        <v>26</v>
      </c>
      <c r="B28" s="152" t="s">
        <v>259</v>
      </c>
      <c r="C28" s="152" t="s">
        <v>260</v>
      </c>
      <c r="E28" s="167"/>
      <c r="F28" s="167"/>
      <c r="G28" s="167"/>
      <c r="I28" s="167"/>
      <c r="J28" s="167"/>
      <c r="K28" s="167"/>
      <c r="M28" s="167" t="e">
        <f t="shared" si="0"/>
        <v>#DIV/0!</v>
      </c>
    </row>
    <row r="29" spans="1:13" x14ac:dyDescent="0.2">
      <c r="A29" s="162">
        <v>27</v>
      </c>
      <c r="B29" s="163" t="s">
        <v>261</v>
      </c>
      <c r="C29" s="163" t="s">
        <v>261</v>
      </c>
      <c r="E29" s="167"/>
      <c r="F29" s="167"/>
      <c r="G29" s="167"/>
      <c r="I29" s="167"/>
      <c r="J29" s="167"/>
      <c r="K29" s="167"/>
      <c r="M29" s="167" t="e">
        <f t="shared" si="0"/>
        <v>#DIV/0!</v>
      </c>
    </row>
    <row r="30" spans="1:13" x14ac:dyDescent="0.2">
      <c r="A30" s="156">
        <v>28</v>
      </c>
      <c r="B30" s="152" t="s">
        <v>262</v>
      </c>
      <c r="C30" s="152" t="s">
        <v>263</v>
      </c>
      <c r="E30" s="167"/>
      <c r="F30" s="167"/>
      <c r="G30" s="167"/>
      <c r="I30" s="167"/>
      <c r="J30" s="167"/>
      <c r="K30" s="167"/>
      <c r="M30" s="167" t="e">
        <f t="shared" si="0"/>
        <v>#DIV/0!</v>
      </c>
    </row>
    <row r="31" spans="1:13" x14ac:dyDescent="0.2">
      <c r="A31" s="165">
        <v>29</v>
      </c>
      <c r="B31" s="166" t="s">
        <v>264</v>
      </c>
      <c r="C31" s="166" t="s">
        <v>265</v>
      </c>
      <c r="E31" s="167"/>
      <c r="F31" s="167"/>
      <c r="G31" s="167"/>
      <c r="I31" s="167"/>
      <c r="J31" s="167"/>
      <c r="K31" s="167"/>
      <c r="M31" s="167" t="e">
        <f>SUM($E31:$G31)/SUM(I31:K31)</f>
        <v>#DIV/0!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B2:H31"/>
  <sheetViews>
    <sheetView topLeftCell="A6" workbookViewId="0">
      <selection activeCell="F25" sqref="F25"/>
    </sheetView>
  </sheetViews>
  <sheetFormatPr defaultColWidth="9.140625" defaultRowHeight="16.5" x14ac:dyDescent="0.3"/>
  <cols>
    <col min="1" max="1" width="9.140625" style="3"/>
    <col min="2" max="2" width="5.7109375" style="3" customWidth="1"/>
    <col min="3" max="3" width="16.7109375" style="3" customWidth="1"/>
    <col min="4" max="4" width="24.7109375" style="3" customWidth="1"/>
    <col min="5" max="5" width="16.7109375" style="3" customWidth="1"/>
    <col min="6" max="6" width="24.7109375" style="3" customWidth="1"/>
    <col min="7" max="7" width="16.7109375" style="3" customWidth="1"/>
    <col min="8" max="16384" width="9.140625" style="3"/>
  </cols>
  <sheetData>
    <row r="2" spans="2:8" ht="18.75" x14ac:dyDescent="0.3">
      <c r="B2" s="46" t="str">
        <f>Scholen!B3</f>
        <v>Groep 7/8</v>
      </c>
      <c r="C2" s="62"/>
      <c r="D2" s="63">
        <f>Scholen!D3</f>
        <v>46113</v>
      </c>
      <c r="E2" s="64"/>
      <c r="H2" s="65"/>
    </row>
    <row r="4" spans="2:8" x14ac:dyDescent="0.3">
      <c r="B4" s="3" t="s">
        <v>11</v>
      </c>
      <c r="D4" s="3" t="s">
        <v>274</v>
      </c>
      <c r="F4" s="3" t="s">
        <v>274</v>
      </c>
    </row>
    <row r="6" spans="2:8" x14ac:dyDescent="0.3">
      <c r="B6" s="66">
        <v>1</v>
      </c>
      <c r="C6" s="3" t="str">
        <f>IF(Scholen!B8&lt;&gt;"",Scholen!B8,"")</f>
        <v>Meisjes</v>
      </c>
      <c r="D6" s="101" t="s">
        <v>275</v>
      </c>
      <c r="E6" s="67"/>
      <c r="F6" s="101" t="s">
        <v>276</v>
      </c>
      <c r="G6" s="67"/>
    </row>
    <row r="7" spans="2:8" x14ac:dyDescent="0.3">
      <c r="B7" s="66">
        <v>2</v>
      </c>
      <c r="C7" s="3" t="str">
        <f>IF(Scholen!D8&lt;&gt;"",Scholen!D8,"")</f>
        <v>Meisjes</v>
      </c>
      <c r="D7" s="101" t="s">
        <v>277</v>
      </c>
      <c r="E7" s="67"/>
      <c r="F7" s="101" t="s">
        <v>278</v>
      </c>
      <c r="G7" s="67"/>
    </row>
    <row r="8" spans="2:8" x14ac:dyDescent="0.3">
      <c r="B8" s="66">
        <v>3</v>
      </c>
      <c r="C8" s="3" t="str">
        <f>IF(Scholen!F8&lt;&gt;"",Scholen!F8,"")</f>
        <v>Meisjes</v>
      </c>
      <c r="D8" s="101" t="s">
        <v>279</v>
      </c>
      <c r="F8" s="101" t="s">
        <v>280</v>
      </c>
      <c r="G8" s="68"/>
    </row>
    <row r="9" spans="2:8" x14ac:dyDescent="0.3">
      <c r="B9" s="66">
        <v>4</v>
      </c>
      <c r="C9" s="3" t="str">
        <f>IF(Scholen!H8&lt;&gt;"",Scholen!H8,"")</f>
        <v>Meisjes</v>
      </c>
      <c r="D9" s="101" t="s">
        <v>281</v>
      </c>
      <c r="F9" s="103" t="s">
        <v>282</v>
      </c>
      <c r="G9" s="68"/>
    </row>
    <row r="10" spans="2:8" x14ac:dyDescent="0.3">
      <c r="B10" s="66">
        <v>5</v>
      </c>
      <c r="C10" s="3" t="str">
        <f>IF(Scholen!J8&lt;&gt;"",Scholen!J8,"")</f>
        <v>Meisjes</v>
      </c>
      <c r="D10" s="59" t="s">
        <v>283</v>
      </c>
      <c r="F10" s="101" t="s">
        <v>284</v>
      </c>
      <c r="G10" s="68"/>
    </row>
    <row r="11" spans="2:8" x14ac:dyDescent="0.3">
      <c r="B11" s="66">
        <v>6</v>
      </c>
      <c r="C11" s="3" t="str">
        <f>IF(Scholen!L8&lt;&gt;"",Scholen!L8,"")</f>
        <v>Meisjes</v>
      </c>
      <c r="D11" s="101" t="s">
        <v>285</v>
      </c>
      <c r="F11" s="101" t="s">
        <v>286</v>
      </c>
      <c r="G11" s="68"/>
    </row>
    <row r="12" spans="2:8" x14ac:dyDescent="0.3">
      <c r="B12" s="66">
        <v>7</v>
      </c>
      <c r="C12" s="3" t="str">
        <f>IF(Scholen!N8&lt;&gt;"",Scholen!N8,"")</f>
        <v>Gemengd</v>
      </c>
      <c r="D12" s="101" t="s">
        <v>287</v>
      </c>
      <c r="F12" s="101" t="s">
        <v>288</v>
      </c>
      <c r="G12" s="68"/>
    </row>
    <row r="13" spans="2:8" x14ac:dyDescent="0.3">
      <c r="B13" s="66">
        <v>8</v>
      </c>
      <c r="C13" s="3" t="str">
        <f>IF(Scholen!P8&lt;&gt;"",Scholen!P8,"")</f>
        <v>Gemengd</v>
      </c>
      <c r="D13" s="101" t="s">
        <v>289</v>
      </c>
      <c r="F13" s="101" t="s">
        <v>290</v>
      </c>
      <c r="G13" s="68"/>
    </row>
    <row r="14" spans="2:8" x14ac:dyDescent="0.3">
      <c r="B14" s="66">
        <v>9</v>
      </c>
      <c r="C14" s="3" t="str">
        <f>IF(Scholen!R8&lt;&gt;"",Scholen!R8,"")</f>
        <v>Jongens</v>
      </c>
      <c r="D14" s="101" t="s">
        <v>291</v>
      </c>
      <c r="F14" s="101" t="s">
        <v>292</v>
      </c>
      <c r="G14" s="68"/>
    </row>
    <row r="15" spans="2:8" x14ac:dyDescent="0.3">
      <c r="B15" s="66">
        <v>10</v>
      </c>
      <c r="C15" s="3" t="str">
        <f>IF(Scholen!B22&lt;&gt;"",Scholen!B22,"")</f>
        <v>Jongens</v>
      </c>
      <c r="D15" s="101" t="s">
        <v>293</v>
      </c>
      <c r="F15" s="101" t="s">
        <v>294</v>
      </c>
      <c r="G15" s="68"/>
    </row>
    <row r="16" spans="2:8" x14ac:dyDescent="0.3">
      <c r="B16" s="66">
        <v>11</v>
      </c>
      <c r="C16" s="3" t="str">
        <f>IF(Scholen!D22&lt;&gt;"",Scholen!D22,"")</f>
        <v>Jongens</v>
      </c>
      <c r="D16" s="101" t="s">
        <v>295</v>
      </c>
      <c r="F16" s="101" t="s">
        <v>296</v>
      </c>
      <c r="G16" s="68"/>
    </row>
    <row r="17" spans="2:7" x14ac:dyDescent="0.3">
      <c r="B17" s="66">
        <v>12</v>
      </c>
      <c r="C17" s="3" t="str">
        <f>IF(Scholen!F22&lt;&gt;"",Scholen!F22,"")</f>
        <v>Jongens</v>
      </c>
      <c r="D17" s="101" t="s">
        <v>297</v>
      </c>
      <c r="F17" s="101" t="s">
        <v>298</v>
      </c>
      <c r="G17" s="68"/>
    </row>
    <row r="18" spans="2:7" x14ac:dyDescent="0.3">
      <c r="B18" s="66">
        <v>13</v>
      </c>
      <c r="C18" s="3" t="str">
        <f>IF(Scholen!H22&lt;&gt;"",Scholen!H22,"")</f>
        <v>Jongens</v>
      </c>
      <c r="D18" s="101" t="s">
        <v>299</v>
      </c>
      <c r="F18" s="101" t="s">
        <v>300</v>
      </c>
      <c r="G18" s="68"/>
    </row>
    <row r="19" spans="2:7" x14ac:dyDescent="0.3">
      <c r="B19" s="66">
        <v>14</v>
      </c>
      <c r="C19" s="3" t="str">
        <f>IF(Scholen!J22&lt;&gt;"",Scholen!J22,"")</f>
        <v>Jongens</v>
      </c>
      <c r="D19" s="101" t="s">
        <v>301</v>
      </c>
      <c r="F19" s="101" t="s">
        <v>302</v>
      </c>
      <c r="G19" s="68"/>
    </row>
    <row r="20" spans="2:7" x14ac:dyDescent="0.3">
      <c r="B20" s="66">
        <v>15</v>
      </c>
      <c r="C20" s="3" t="str">
        <f>IF(Scholen!L22&lt;&gt;"",Scholen!L22,"")</f>
        <v>Jongens</v>
      </c>
      <c r="D20" s="101" t="s">
        <v>303</v>
      </c>
      <c r="F20" s="101" t="s">
        <v>304</v>
      </c>
      <c r="G20" s="68"/>
    </row>
    <row r="21" spans="2:7" x14ac:dyDescent="0.3">
      <c r="B21" s="66">
        <v>16</v>
      </c>
      <c r="C21" s="3" t="str">
        <f>IF(Scholen!N22&lt;&gt;"",Scholen!N22,"")</f>
        <v>Jongens</v>
      </c>
      <c r="D21" s="101" t="s">
        <v>305</v>
      </c>
      <c r="F21" s="101" t="s">
        <v>306</v>
      </c>
      <c r="G21" s="68"/>
    </row>
    <row r="22" spans="2:7" x14ac:dyDescent="0.3">
      <c r="B22" s="66">
        <v>17</v>
      </c>
      <c r="C22" s="3" t="str">
        <f>IF(Scholen!P22&lt;&gt;"",Scholen!P22,"")</f>
        <v>Jongens</v>
      </c>
      <c r="D22" s="101" t="s">
        <v>307</v>
      </c>
      <c r="F22" s="101" t="s">
        <v>308</v>
      </c>
      <c r="G22" s="68"/>
    </row>
    <row r="23" spans="2:7" x14ac:dyDescent="0.3">
      <c r="B23" s="66">
        <v>18</v>
      </c>
      <c r="C23" s="3" t="str">
        <f>IF(Scholen!R22&lt;&gt;"",Scholen!R22,"")</f>
        <v>Jongens</v>
      </c>
      <c r="D23" s="101" t="s">
        <v>309</v>
      </c>
      <c r="F23" s="59" t="s">
        <v>310</v>
      </c>
      <c r="G23" s="67"/>
    </row>
    <row r="24" spans="2:7" x14ac:dyDescent="0.3">
      <c r="B24" s="66">
        <v>19</v>
      </c>
      <c r="C24" s="3" t="str">
        <f>IF(Scholen!B36&lt;&gt;"",Scholen!B36,"")</f>
        <v>Jongens</v>
      </c>
      <c r="D24" s="101" t="s">
        <v>311</v>
      </c>
      <c r="F24" s="101" t="s">
        <v>312</v>
      </c>
    </row>
    <row r="25" spans="2:7" x14ac:dyDescent="0.3">
      <c r="B25" s="66">
        <v>20</v>
      </c>
      <c r="C25" s="3" t="str">
        <f>IF(Scholen!D36&lt;&gt;"",Scholen!D36,"")</f>
        <v/>
      </c>
      <c r="D25" s="101" t="s">
        <v>313</v>
      </c>
      <c r="F25" s="101"/>
    </row>
    <row r="26" spans="2:7" x14ac:dyDescent="0.3">
      <c r="B26" s="66">
        <v>21</v>
      </c>
      <c r="C26" s="3" t="str">
        <f>IF(Scholen!F36&lt;&gt;"",Scholen!F36,"")</f>
        <v/>
      </c>
      <c r="D26" s="104"/>
      <c r="F26" s="104"/>
    </row>
    <row r="27" spans="2:7" x14ac:dyDescent="0.3">
      <c r="B27" s="66">
        <v>22</v>
      </c>
      <c r="C27" s="3" t="str">
        <f>IF(Scholen!H36&lt;&gt;"",Scholen!H36,"")</f>
        <v/>
      </c>
      <c r="D27" s="104"/>
      <c r="F27" s="104"/>
    </row>
    <row r="28" spans="2:7" x14ac:dyDescent="0.3">
      <c r="B28" s="66">
        <v>23</v>
      </c>
      <c r="C28" s="3" t="str">
        <f>IF(Scholen!J36&lt;&gt;"",Scholen!J36,"")</f>
        <v/>
      </c>
      <c r="D28" s="104"/>
      <c r="F28" s="104"/>
    </row>
    <row r="29" spans="2:7" x14ac:dyDescent="0.3">
      <c r="B29" s="66">
        <v>24</v>
      </c>
      <c r="C29" s="3" t="str">
        <f>IF(Scholen!L36&lt;&gt;"",Scholen!L36,"")</f>
        <v/>
      </c>
      <c r="D29" s="104"/>
      <c r="F29" s="104"/>
    </row>
    <row r="30" spans="2:7" x14ac:dyDescent="0.3">
      <c r="B30" s="66">
        <v>25</v>
      </c>
      <c r="C30" s="3" t="str">
        <f>IF(Scholen!N36&lt;&gt;"",Scholen!N36,"")</f>
        <v/>
      </c>
      <c r="D30" s="104"/>
      <c r="F30" s="104"/>
    </row>
    <row r="31" spans="2:7" x14ac:dyDescent="0.3">
      <c r="B31" s="66">
        <v>26</v>
      </c>
      <c r="C31" s="3" t="str">
        <f>IF(Scholen!P36&lt;&gt;"",Scholen!P36,"")</f>
        <v/>
      </c>
      <c r="D31" s="104"/>
      <c r="F31" s="104"/>
    </row>
  </sheetData>
  <phoneticPr fontId="0" type="noConversion"/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X48"/>
  <sheetViews>
    <sheetView tabSelected="1" zoomScaleNormal="100" workbookViewId="0">
      <selection activeCell="L11" sqref="L1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Scholen!$B$8</f>
        <v>Meisjes</v>
      </c>
      <c r="F8" s="175"/>
      <c r="G8" s="175"/>
      <c r="H8" s="176" t="s">
        <v>1</v>
      </c>
      <c r="I8" s="177" t="s">
        <v>2</v>
      </c>
      <c r="J8" s="175" t="s">
        <v>11</v>
      </c>
      <c r="K8" s="228">
        <f>Scholen!$C$7</f>
        <v>1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Maria M2</v>
      </c>
      <c r="F11" s="91"/>
      <c r="G11" s="89" t="s">
        <v>326</v>
      </c>
      <c r="H11" s="91" t="str">
        <f>$A$42</f>
        <v>Galjoen M1</v>
      </c>
      <c r="I11" s="15"/>
      <c r="J11" s="14">
        <v>13</v>
      </c>
      <c r="K11" s="92" t="s">
        <v>326</v>
      </c>
      <c r="L11" s="16">
        <v>26</v>
      </c>
      <c r="M11" s="17" t="str">
        <f>Scheids!$D$6</f>
        <v xml:space="preserve">Theo Dessens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Springwijs M1</v>
      </c>
      <c r="F12" s="23"/>
      <c r="G12" s="21" t="s">
        <v>326</v>
      </c>
      <c r="H12" s="23" t="str">
        <f>$A$44</f>
        <v>Max M1</v>
      </c>
      <c r="I12" s="24"/>
      <c r="J12" s="20"/>
      <c r="K12" s="25" t="s">
        <v>326</v>
      </c>
      <c r="L12" s="26"/>
      <c r="M12" s="27" t="str">
        <f>Scheids!$D$6</f>
        <v xml:space="preserve">Theo Dessens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Maurits M1</v>
      </c>
      <c r="F13" s="23"/>
      <c r="G13" s="21" t="s">
        <v>326</v>
      </c>
      <c r="H13" s="23" t="str">
        <f>$A$46</f>
        <v>DSV M1</v>
      </c>
      <c r="I13" s="24"/>
      <c r="J13" s="20"/>
      <c r="K13" s="25" t="s">
        <v>326</v>
      </c>
      <c r="L13" s="26"/>
      <c r="M13" s="27" t="str">
        <f>Scheids!$D$6</f>
        <v xml:space="preserve">Theo Dessens 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 t="s">
        <v>326</v>
      </c>
      <c r="D14" s="132">
        <v>0.58124999999999993</v>
      </c>
      <c r="E14" s="199" t="str">
        <f>$A$47</f>
        <v>Horizon M1</v>
      </c>
      <c r="F14" s="23"/>
      <c r="G14" s="21" t="s">
        <v>326</v>
      </c>
      <c r="H14" s="23" t="str">
        <f>$A$48</f>
        <v>Widar M1</v>
      </c>
      <c r="I14" s="24"/>
      <c r="J14" s="20"/>
      <c r="K14" s="25" t="s">
        <v>326</v>
      </c>
      <c r="L14" s="26"/>
      <c r="M14" s="27" t="str">
        <f>Scheids!$F$6</f>
        <v>Arnold Scholte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Galjoen M1</v>
      </c>
      <c r="F15" s="23"/>
      <c r="G15" s="21" t="s">
        <v>326</v>
      </c>
      <c r="H15" s="23" t="str">
        <f>$A$43</f>
        <v>Springwijs M1</v>
      </c>
      <c r="I15" s="24"/>
      <c r="J15" s="20"/>
      <c r="K15" s="25" t="s">
        <v>326</v>
      </c>
      <c r="L15" s="26"/>
      <c r="M15" s="27" t="str">
        <f>Scheids!$F$6</f>
        <v>Arnold Scholte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Max M1</v>
      </c>
      <c r="F16" s="23"/>
      <c r="G16" s="21" t="s">
        <v>326</v>
      </c>
      <c r="H16" s="23" t="str">
        <f>$A$45</f>
        <v>Maurits M1</v>
      </c>
      <c r="I16" s="24"/>
      <c r="J16" s="20"/>
      <c r="K16" s="25" t="s">
        <v>326</v>
      </c>
      <c r="L16" s="26"/>
      <c r="M16" s="27" t="str">
        <f>Scheids!$F$6</f>
        <v>Arnold Scholte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DSV M1</v>
      </c>
      <c r="F17" s="23"/>
      <c r="G17" s="21" t="s">
        <v>326</v>
      </c>
      <c r="H17" s="23" t="str">
        <f>$A$47</f>
        <v>Horizon M1</v>
      </c>
      <c r="I17" s="24"/>
      <c r="J17" s="20"/>
      <c r="K17" s="25" t="s">
        <v>326</v>
      </c>
      <c r="L17" s="26"/>
      <c r="M17" s="27" t="str">
        <f>Scheids!$D$6</f>
        <v xml:space="preserve">Theo Dessens 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 t="s">
        <v>326</v>
      </c>
      <c r="D18" s="132">
        <v>0.60069444444444442</v>
      </c>
      <c r="E18" s="23" t="str">
        <f>$A$48</f>
        <v>Widar M1</v>
      </c>
      <c r="F18" s="23"/>
      <c r="G18" s="21" t="s">
        <v>326</v>
      </c>
      <c r="H18" s="23" t="str">
        <f>$A$41</f>
        <v>Maria M2</v>
      </c>
      <c r="I18" s="24"/>
      <c r="J18" s="20"/>
      <c r="K18" s="25" t="s">
        <v>326</v>
      </c>
      <c r="L18" s="26"/>
      <c r="M18" s="27" t="str">
        <f>Scheids!$D$6</f>
        <v xml:space="preserve">Theo Dessens 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Max M1</v>
      </c>
      <c r="F19" s="23"/>
      <c r="G19" s="21" t="s">
        <v>326</v>
      </c>
      <c r="H19" s="23" t="str">
        <f>$A$42</f>
        <v>Galjoen M1</v>
      </c>
      <c r="I19" s="24"/>
      <c r="J19" s="20"/>
      <c r="K19" s="25" t="s">
        <v>326</v>
      </c>
      <c r="L19" s="26"/>
      <c r="M19" s="27" t="str">
        <f>Scheids!$D$6</f>
        <v xml:space="preserve">Theo Dessens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Springwijs M1</v>
      </c>
      <c r="F20" s="23"/>
      <c r="G20" s="21" t="s">
        <v>326</v>
      </c>
      <c r="H20" s="23" t="str">
        <f>$A$45</f>
        <v>Maurits M1</v>
      </c>
      <c r="I20" s="24"/>
      <c r="J20" s="20"/>
      <c r="K20" s="25" t="s">
        <v>326</v>
      </c>
      <c r="L20" s="26"/>
      <c r="M20" s="27" t="str">
        <f>Scheids!$F$6</f>
        <v>Arnold Scholte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Maria M2</v>
      </c>
      <c r="F21" s="23"/>
      <c r="G21" s="21" t="s">
        <v>326</v>
      </c>
      <c r="H21" s="23" t="str">
        <f>$A$47</f>
        <v>Horizon M1</v>
      </c>
      <c r="I21" s="24"/>
      <c r="J21" s="20"/>
      <c r="K21" s="25" t="s">
        <v>326</v>
      </c>
      <c r="L21" s="26"/>
      <c r="M21" s="27" t="str">
        <f>Scheids!$F$6</f>
        <v>Arnold Scholte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 t="s">
        <v>326</v>
      </c>
      <c r="D22" s="132">
        <v>0.62013888888888891</v>
      </c>
      <c r="E22" s="23" t="str">
        <f>$A$46</f>
        <v>DSV M1</v>
      </c>
      <c r="F22" s="23"/>
      <c r="G22" s="21" t="s">
        <v>326</v>
      </c>
      <c r="H22" s="23" t="str">
        <f>$A$48</f>
        <v>Widar M1</v>
      </c>
      <c r="I22" s="24"/>
      <c r="J22" s="20"/>
      <c r="K22" s="25" t="s">
        <v>326</v>
      </c>
      <c r="L22" s="26"/>
      <c r="M22" s="27" t="str">
        <f>Scheids!$F$6</f>
        <v>Arnold Scholte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Maria M2</v>
      </c>
      <c r="F23" s="23"/>
      <c r="G23" s="21" t="s">
        <v>326</v>
      </c>
      <c r="H23" s="23" t="str">
        <f>$A$43</f>
        <v>Springwijs M1</v>
      </c>
      <c r="I23" s="24"/>
      <c r="J23" s="20"/>
      <c r="K23" s="25" t="s">
        <v>326</v>
      </c>
      <c r="L23" s="26"/>
      <c r="M23" s="27" t="str">
        <f>Scheids!$D$6</f>
        <v xml:space="preserve">Theo Dessens 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DSV M1</v>
      </c>
      <c r="F24" s="23"/>
      <c r="G24" s="21" t="s">
        <v>326</v>
      </c>
      <c r="H24" s="23" t="str">
        <f>$A$44</f>
        <v>Max M1</v>
      </c>
      <c r="I24" s="24"/>
      <c r="J24" s="20"/>
      <c r="K24" s="25" t="s">
        <v>326</v>
      </c>
      <c r="L24" s="26"/>
      <c r="M24" s="27" t="str">
        <f>Scheids!$D$6</f>
        <v xml:space="preserve">Theo Dessens 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Galjoen M1</v>
      </c>
      <c r="F25" s="23"/>
      <c r="G25" s="21" t="s">
        <v>326</v>
      </c>
      <c r="H25" s="23" t="str">
        <f>$A$47</f>
        <v>Horizon M1</v>
      </c>
      <c r="I25" s="24"/>
      <c r="J25" s="20"/>
      <c r="K25" s="25" t="s">
        <v>326</v>
      </c>
      <c r="L25" s="26"/>
      <c r="M25" s="27" t="str">
        <f>Scheids!$D$6</f>
        <v xml:space="preserve">Theo Dessens 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 t="s">
        <v>326</v>
      </c>
      <c r="D26" s="132">
        <v>0.63958333333333328</v>
      </c>
      <c r="E26" s="133" t="str">
        <f>$A$45</f>
        <v>Maurits M1</v>
      </c>
      <c r="F26" s="23"/>
      <c r="G26" s="21" t="s">
        <v>326</v>
      </c>
      <c r="H26" s="23" t="str">
        <f>$A$48</f>
        <v>Widar M1</v>
      </c>
      <c r="I26" s="24"/>
      <c r="J26" s="20"/>
      <c r="K26" s="25" t="s">
        <v>326</v>
      </c>
      <c r="L26" s="26"/>
      <c r="M26" s="27" t="str">
        <f>Scheids!$F$6</f>
        <v>Arnold Scholte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Springwijs M1</v>
      </c>
      <c r="F27" s="23"/>
      <c r="G27" s="21" t="s">
        <v>326</v>
      </c>
      <c r="H27" s="23" t="str">
        <f>$A$46</f>
        <v>DSV M1</v>
      </c>
      <c r="I27" s="24"/>
      <c r="J27" s="20"/>
      <c r="K27" s="25" t="s">
        <v>326</v>
      </c>
      <c r="L27" s="26"/>
      <c r="M27" s="27" t="str">
        <f>Scheids!$F$6</f>
        <v>Arnold Scholte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0.64513888888888882</v>
      </c>
      <c r="C28" s="21" t="s">
        <v>326</v>
      </c>
      <c r="D28" s="132">
        <v>0.64930555555555558</v>
      </c>
      <c r="E28" s="23" t="str">
        <f>$A$42</f>
        <v>Galjoen M1</v>
      </c>
      <c r="F28" s="23"/>
      <c r="G28" s="21" t="s">
        <v>326</v>
      </c>
      <c r="H28" s="23" t="str">
        <f>$A$48</f>
        <v>Widar M1</v>
      </c>
      <c r="I28" s="24"/>
      <c r="J28" s="20"/>
      <c r="K28" s="25" t="s">
        <v>326</v>
      </c>
      <c r="L28" s="26"/>
      <c r="M28" s="27" t="str">
        <f>Scheids!$F$6</f>
        <v>Arnold Scholte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Max M1</v>
      </c>
      <c r="F29" s="23"/>
      <c r="G29" s="21" t="s">
        <v>326</v>
      </c>
      <c r="H29" s="23" t="str">
        <f>$A$41</f>
        <v>Maria M2</v>
      </c>
      <c r="I29" s="24"/>
      <c r="J29" s="20"/>
      <c r="K29" s="25" t="s">
        <v>326</v>
      </c>
      <c r="L29" s="26"/>
      <c r="M29" s="27" t="str">
        <f>Scheids!$D$6</f>
        <v xml:space="preserve">Theo Dessens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Horizon M1</v>
      </c>
      <c r="F30" s="23"/>
      <c r="G30" s="21" t="s">
        <v>326</v>
      </c>
      <c r="H30" s="23" t="str">
        <f>$A$45</f>
        <v>Maurits M1</v>
      </c>
      <c r="I30" s="24"/>
      <c r="J30" s="20"/>
      <c r="K30" s="25" t="s">
        <v>326</v>
      </c>
      <c r="L30" s="26"/>
      <c r="M30" s="27" t="str">
        <f>Scheids!$D$6</f>
        <v xml:space="preserve">Theo Dessens 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 t="s">
        <v>326</v>
      </c>
      <c r="D31" s="132">
        <v>0.66388888888888886</v>
      </c>
      <c r="E31" s="23" t="str">
        <f>$A$48</f>
        <v>Widar M1</v>
      </c>
      <c r="F31" s="23"/>
      <c r="G31" s="21" t="s">
        <v>326</v>
      </c>
      <c r="H31" s="23" t="str">
        <f>$A$44</f>
        <v>Max M1</v>
      </c>
      <c r="I31" s="24"/>
      <c r="J31" s="20"/>
      <c r="K31" s="25" t="s">
        <v>326</v>
      </c>
      <c r="L31" s="26"/>
      <c r="M31" s="27" t="str">
        <f>Scheids!$D$6</f>
        <v xml:space="preserve">Theo Dessens 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Springwijs M1</v>
      </c>
      <c r="F32" s="23"/>
      <c r="G32" s="21" t="s">
        <v>326</v>
      </c>
      <c r="H32" s="23" t="str">
        <f>$A$47</f>
        <v>Horizon M1</v>
      </c>
      <c r="I32" s="24"/>
      <c r="J32" s="20"/>
      <c r="K32" s="25" t="s">
        <v>326</v>
      </c>
      <c r="L32" s="26"/>
      <c r="M32" s="27" t="str">
        <f>Scheids!$F$6</f>
        <v>Arnold Scholte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Galjoen M1</v>
      </c>
      <c r="F33" s="23"/>
      <c r="G33" s="21" t="s">
        <v>326</v>
      </c>
      <c r="H33" s="23" t="str">
        <f>$A$46</f>
        <v>DSV M1</v>
      </c>
      <c r="I33" s="24"/>
      <c r="J33" s="20"/>
      <c r="K33" s="25" t="s">
        <v>326</v>
      </c>
      <c r="L33" s="26"/>
      <c r="M33" s="27" t="str">
        <f>Scheids!$F$6</f>
        <v>Arnold Scholte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Maria M2</v>
      </c>
      <c r="F34" s="23"/>
      <c r="G34" s="21" t="s">
        <v>326</v>
      </c>
      <c r="H34" s="23" t="str">
        <f>$A$45</f>
        <v>Maurits M1</v>
      </c>
      <c r="I34" s="24"/>
      <c r="J34" s="20"/>
      <c r="K34" s="25" t="s">
        <v>326</v>
      </c>
      <c r="L34" s="26"/>
      <c r="M34" s="27" t="str">
        <f>Scheids!$F$6</f>
        <v>Arnold Scholte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 t="s">
        <v>326</v>
      </c>
      <c r="D35" s="132">
        <v>0.68333333333333324</v>
      </c>
      <c r="E35" s="23" t="str">
        <f>$A$48</f>
        <v>Widar M1</v>
      </c>
      <c r="F35" s="23"/>
      <c r="G35" s="21" t="s">
        <v>326</v>
      </c>
      <c r="H35" s="23" t="str">
        <f>$A$43</f>
        <v>Springwijs M1</v>
      </c>
      <c r="I35" s="24"/>
      <c r="J35" s="20"/>
      <c r="K35" s="25" t="s">
        <v>326</v>
      </c>
      <c r="L35" s="26"/>
      <c r="M35" s="27" t="str">
        <f>Scheids!$D$6</f>
        <v xml:space="preserve">Theo Dessens 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DSV M1</v>
      </c>
      <c r="F36" s="23"/>
      <c r="G36" s="21" t="s">
        <v>326</v>
      </c>
      <c r="H36" s="23" t="str">
        <f>$A$41</f>
        <v>Maria M2</v>
      </c>
      <c r="I36" s="24"/>
      <c r="J36" s="20"/>
      <c r="K36" s="25" t="s">
        <v>326</v>
      </c>
      <c r="L36" s="26"/>
      <c r="M36" s="27" t="str">
        <f>Scheids!$D$6</f>
        <v xml:space="preserve">Theo Dessens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Maurits M1</v>
      </c>
      <c r="F37" s="23"/>
      <c r="G37" s="21" t="s">
        <v>326</v>
      </c>
      <c r="H37" s="23" t="str">
        <f>$A$42</f>
        <v>Galjoen M1</v>
      </c>
      <c r="I37" s="24"/>
      <c r="J37" s="20"/>
      <c r="K37" s="25" t="s">
        <v>326</v>
      </c>
      <c r="L37" s="26"/>
      <c r="M37" s="27" t="str">
        <f>Scheids!$F$6</f>
        <v>Arnold Scholte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Horizon M1</v>
      </c>
      <c r="F38" s="34"/>
      <c r="G38" s="32" t="s">
        <v>326</v>
      </c>
      <c r="H38" s="34" t="str">
        <f>$A$44</f>
        <v>Max M1</v>
      </c>
      <c r="I38" s="35"/>
      <c r="J38" s="31"/>
      <c r="K38" s="36" t="s">
        <v>326</v>
      </c>
      <c r="L38" s="37"/>
      <c r="M38" s="121" t="str">
        <f>Scheids!$F$6</f>
        <v>Arnold Scholte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Scholen!$B$10</f>
        <v>Maria M2</v>
      </c>
      <c r="B41" s="213"/>
      <c r="C41" s="213"/>
      <c r="D41" s="139"/>
      <c r="E41" s="140">
        <f>IF(AND($J$11&lt;&gt;"", $L$11&lt;&gt;""),IF($J$11&gt;$L$11,3,IF($J$11=$L$11,1,0)),"")</f>
        <v>0</v>
      </c>
      <c r="F41" s="140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cm="1">
        <f t="array" ref="O41">IF(SUMPRODUCT(--(E41:N41&lt;&gt;""))&lt;&gt;0,SUM(E41:N41),"")</f>
        <v>0</v>
      </c>
      <c r="Q41" s="82">
        <f t="shared" ref="Q41:Q48" si="0">COUNT(E41:N41)</f>
        <v>1</v>
      </c>
      <c r="R41" s="82">
        <f>COUNTIFS(E41:N41,3)</f>
        <v>0</v>
      </c>
      <c r="S41" s="82">
        <f>COUNTIFS(E41:N41,0)</f>
        <v>1</v>
      </c>
      <c r="T41" s="82">
        <f>COUNTIFS(E41:N41,1)</f>
        <v>0</v>
      </c>
      <c r="U41" s="82">
        <f>J11+L18+J21+J23+L29+J34+L36</f>
        <v>13</v>
      </c>
      <c r="V41" s="82">
        <f>L11+J18+L21+L23+J29+L34+J36</f>
        <v>26</v>
      </c>
      <c r="W41" s="82">
        <f>Q11+R18+Q21+Q23+R29+Q34+R36</f>
        <v>0</v>
      </c>
      <c r="X41" s="90">
        <f t="shared" ref="X41:X48" si="1">IF(Y41="",IF(O41&lt;&gt;"",_xlfn.RANK.EQ(O41,$O$41:$O$48),""),Y41)</f>
        <v>2</v>
      </c>
    </row>
    <row r="42" spans="1:24" ht="18.75" customHeight="1" x14ac:dyDescent="0.25">
      <c r="A42" s="142" t="str">
        <f>Scholen!$B$11</f>
        <v>Galjoen M1</v>
      </c>
      <c r="B42" s="214"/>
      <c r="C42" s="214"/>
      <c r="D42" s="18"/>
      <c r="E42" s="140">
        <f>IF(AND($J$11&lt;&gt;"", $L$11&lt;&gt;""),IF($J$11&lt;$L$11,3,IF($J$11=$L$11,1,0)),"")</f>
        <v>3</v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1"/>
      <c r="K42" s="139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cm="1">
        <f t="array" ref="O42">IF(SUMPRODUCT(--(E42:N42&lt;&gt;""))&lt;&gt;0,SUM(E42:N42),"")</f>
        <v>3</v>
      </c>
      <c r="Q42" s="82">
        <f t="shared" si="0"/>
        <v>1</v>
      </c>
      <c r="R42" s="82">
        <f t="shared" ref="R42:R48" si="2">COUNTIFS(E42:N42,3)</f>
        <v>1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26</v>
      </c>
      <c r="V42" s="82">
        <f>J11+L15+J19+L25+L28+L33+J37</f>
        <v>13</v>
      </c>
      <c r="W42" s="82">
        <f>R11+Q15+R19+Q25+Q28+Q33+R37</f>
        <v>0</v>
      </c>
      <c r="X42" s="90">
        <f t="shared" si="1"/>
        <v>1</v>
      </c>
    </row>
    <row r="43" spans="1:24" ht="18.75" customHeight="1" x14ac:dyDescent="0.25">
      <c r="A43" s="138" t="str">
        <f>Scholen!$B$12</f>
        <v>Springwijs M1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0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Scholen!$B$13</f>
        <v>Max M1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1"/>
      <c r="M44" s="139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Scholen!$B$14</f>
        <v>Maurits M1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45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Scholen!$B$15</f>
        <v>DSV M1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1"/>
      <c r="H46" s="139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IF(Scholen!$B$16&lt;&gt;"",Scholen!$B$16,"")</f>
        <v>Horizon M1</v>
      </c>
      <c r="B47" s="213"/>
      <c r="C47" s="213"/>
      <c r="D47" s="139"/>
      <c r="E47" s="140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IF(Scholen!$B$17&lt;&gt;"",Scholen!$B$17,"")</f>
        <v>Widar M1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ignoredErrors>
    <ignoredError sqref="H27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Y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Scholen!$D$8</f>
        <v>Meisjes</v>
      </c>
      <c r="F8" s="175"/>
      <c r="G8" s="175"/>
      <c r="H8" s="176" t="s">
        <v>1</v>
      </c>
      <c r="I8" s="177" t="s">
        <v>3</v>
      </c>
      <c r="J8" s="175" t="s">
        <v>11</v>
      </c>
      <c r="K8" s="228">
        <f>Scholen!$E$7</f>
        <v>2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Tuin M1</v>
      </c>
      <c r="F11" s="91"/>
      <c r="G11" s="89" t="s">
        <v>326</v>
      </c>
      <c r="H11" s="91" t="str">
        <f>$A$42</f>
        <v>Maria M3</v>
      </c>
      <c r="I11" s="15"/>
      <c r="J11" s="14"/>
      <c r="K11" s="92" t="s">
        <v>326</v>
      </c>
      <c r="L11" s="16"/>
      <c r="M11" s="17" t="str">
        <f>Scheids!$D$7</f>
        <v>Guus Heemskerk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Galjoen M2</v>
      </c>
      <c r="F12" s="23"/>
      <c r="G12" s="21" t="s">
        <v>326</v>
      </c>
      <c r="H12" s="23" t="str">
        <f>$A$44</f>
        <v>Springwijs M2</v>
      </c>
      <c r="I12" s="24"/>
      <c r="J12" s="20"/>
      <c r="K12" s="25" t="s">
        <v>326</v>
      </c>
      <c r="L12" s="26"/>
      <c r="M12" s="27" t="str">
        <f>Scheids!$D$7</f>
        <v>Guus Heemskerk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Talent M1</v>
      </c>
      <c r="F13" s="23"/>
      <c r="G13" s="21" t="s">
        <v>326</v>
      </c>
      <c r="H13" s="23" t="str">
        <f>$A$46</f>
        <v>Widar M2</v>
      </c>
      <c r="I13" s="24"/>
      <c r="J13" s="20"/>
      <c r="K13" s="25" t="s">
        <v>326</v>
      </c>
      <c r="L13" s="26"/>
      <c r="M13" s="27" t="str">
        <f>Scheids!$D$7</f>
        <v>Guus Heemskerk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Maria M3</v>
      </c>
      <c r="F15" s="23"/>
      <c r="G15" s="21" t="s">
        <v>326</v>
      </c>
      <c r="H15" s="23" t="str">
        <f>$A$43</f>
        <v>Galjoen M2</v>
      </c>
      <c r="I15" s="24"/>
      <c r="J15" s="20"/>
      <c r="K15" s="25" t="s">
        <v>326</v>
      </c>
      <c r="L15" s="26"/>
      <c r="M15" s="27" t="str">
        <f>Scheids!$F$7</f>
        <v>Peter Lips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Springwijs M2</v>
      </c>
      <c r="F16" s="23"/>
      <c r="G16" s="21" t="s">
        <v>326</v>
      </c>
      <c r="H16" s="23" t="str">
        <f>$A$45</f>
        <v>Talent M1</v>
      </c>
      <c r="I16" s="24"/>
      <c r="J16" s="20"/>
      <c r="K16" s="25" t="s">
        <v>326</v>
      </c>
      <c r="L16" s="26"/>
      <c r="M16" s="27" t="str">
        <f>Scheids!$F$7</f>
        <v>Peter Lips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Widar M2</v>
      </c>
      <c r="F17" s="23"/>
      <c r="G17" s="21" t="s">
        <v>326</v>
      </c>
      <c r="H17" s="23" t="str">
        <f>$A$47</f>
        <v>Regenboog M1</v>
      </c>
      <c r="I17" s="24"/>
      <c r="J17" s="20"/>
      <c r="K17" s="25" t="s">
        <v>326</v>
      </c>
      <c r="L17" s="26"/>
      <c r="M17" s="27" t="str">
        <f>Scheids!$F$7</f>
        <v>Peter Lips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Springwijs M2</v>
      </c>
      <c r="F19" s="23"/>
      <c r="G19" s="21" t="s">
        <v>326</v>
      </c>
      <c r="H19" s="23" t="str">
        <f>$A$42</f>
        <v>Maria M3</v>
      </c>
      <c r="I19" s="24"/>
      <c r="J19" s="20"/>
      <c r="K19" s="25" t="s">
        <v>326</v>
      </c>
      <c r="L19" s="26"/>
      <c r="M19" s="27" t="str">
        <f>Scheids!$D$7</f>
        <v>Guus Heemskerk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Galjoen M2</v>
      </c>
      <c r="F20" s="23"/>
      <c r="G20" s="21" t="s">
        <v>326</v>
      </c>
      <c r="H20" s="23" t="str">
        <f>$A$45</f>
        <v>Talent M1</v>
      </c>
      <c r="I20" s="24"/>
      <c r="J20" s="20"/>
      <c r="K20" s="25" t="s">
        <v>326</v>
      </c>
      <c r="L20" s="26"/>
      <c r="M20" s="27" t="str">
        <f>Scheids!$D$7</f>
        <v>Guus Heemskerk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Tuin M1</v>
      </c>
      <c r="F21" s="23"/>
      <c r="G21" s="21" t="s">
        <v>326</v>
      </c>
      <c r="H21" s="23" t="str">
        <f>$A$47</f>
        <v>Regenboog M1</v>
      </c>
      <c r="I21" s="24"/>
      <c r="J21" s="20"/>
      <c r="K21" s="25" t="s">
        <v>326</v>
      </c>
      <c r="L21" s="26"/>
      <c r="M21" s="27" t="str">
        <f>Scheids!$D$7</f>
        <v>Guus Heemskerk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Tuin M1</v>
      </c>
      <c r="F23" s="23"/>
      <c r="G23" s="21" t="s">
        <v>326</v>
      </c>
      <c r="H23" s="23" t="str">
        <f>$A$43</f>
        <v>Galjoen M2</v>
      </c>
      <c r="I23" s="24"/>
      <c r="J23" s="20"/>
      <c r="K23" s="25" t="s">
        <v>326</v>
      </c>
      <c r="L23" s="26"/>
      <c r="M23" s="27" t="str">
        <f>Scheids!$F$7</f>
        <v>Peter Lips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Widar M2</v>
      </c>
      <c r="F24" s="23"/>
      <c r="G24" s="21" t="s">
        <v>326</v>
      </c>
      <c r="H24" s="23" t="str">
        <f>$A$44</f>
        <v>Springwijs M2</v>
      </c>
      <c r="I24" s="24"/>
      <c r="J24" s="20"/>
      <c r="K24" s="25" t="s">
        <v>326</v>
      </c>
      <c r="L24" s="26"/>
      <c r="M24" s="27" t="str">
        <f>Scheids!$F$7</f>
        <v>Peter Lips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Maria M3</v>
      </c>
      <c r="F25" s="23"/>
      <c r="G25" s="21" t="s">
        <v>326</v>
      </c>
      <c r="H25" s="23" t="str">
        <f>$A$47</f>
        <v>Regenboog M1</v>
      </c>
      <c r="I25" s="24"/>
      <c r="J25" s="20"/>
      <c r="K25" s="25" t="s">
        <v>326</v>
      </c>
      <c r="L25" s="26"/>
      <c r="M25" s="27" t="str">
        <f>Scheids!$F$7</f>
        <v>Peter Lips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Galjoen M2</v>
      </c>
      <c r="F27" s="23"/>
      <c r="G27" s="21" t="s">
        <v>326</v>
      </c>
      <c r="H27" s="23" t="str">
        <f>$A$46</f>
        <v>Widar M2</v>
      </c>
      <c r="I27" s="24"/>
      <c r="J27" s="20"/>
      <c r="K27" s="25" t="s">
        <v>326</v>
      </c>
      <c r="L27" s="26"/>
      <c r="M27" s="27" t="str">
        <f>Scheids!$D$7</f>
        <v>Guus Heemskerk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Springwijs M2</v>
      </c>
      <c r="F29" s="23"/>
      <c r="G29" s="21" t="s">
        <v>326</v>
      </c>
      <c r="H29" s="23" t="str">
        <f>$A$41</f>
        <v>Tuin M1</v>
      </c>
      <c r="I29" s="24"/>
      <c r="J29" s="20"/>
      <c r="K29" s="25" t="s">
        <v>326</v>
      </c>
      <c r="L29" s="26"/>
      <c r="M29" s="27" t="str">
        <f>Scheids!$D$7</f>
        <v>Guus Heemskerk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Regenboog M1</v>
      </c>
      <c r="F30" s="23"/>
      <c r="G30" s="21" t="s">
        <v>326</v>
      </c>
      <c r="H30" s="23" t="str">
        <f>$A$45</f>
        <v>Talent M1</v>
      </c>
      <c r="I30" s="24"/>
      <c r="J30" s="20"/>
      <c r="K30" s="25" t="s">
        <v>326</v>
      </c>
      <c r="L30" s="26"/>
      <c r="M30" s="27" t="str">
        <f>Scheids!$D$7</f>
        <v>Guus Heemskerk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Galjoen M2</v>
      </c>
      <c r="F32" s="23"/>
      <c r="G32" s="21" t="s">
        <v>326</v>
      </c>
      <c r="H32" s="23" t="str">
        <f>$A$47</f>
        <v>Regenboog M1</v>
      </c>
      <c r="I32" s="24"/>
      <c r="J32" s="20"/>
      <c r="K32" s="25" t="s">
        <v>326</v>
      </c>
      <c r="L32" s="26"/>
      <c r="M32" s="27" t="str">
        <f>Scheids!$F$7</f>
        <v>Peter Lips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Maria M3</v>
      </c>
      <c r="F33" s="23"/>
      <c r="G33" s="21" t="s">
        <v>326</v>
      </c>
      <c r="H33" s="23" t="str">
        <f>$A$46</f>
        <v>Widar M2</v>
      </c>
      <c r="I33" s="24"/>
      <c r="J33" s="20"/>
      <c r="K33" s="25" t="s">
        <v>326</v>
      </c>
      <c r="L33" s="26"/>
      <c r="M33" s="27" t="str">
        <f>Scheids!$F$7</f>
        <v>Peter Lips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Tuin M1</v>
      </c>
      <c r="F34" s="23"/>
      <c r="G34" s="21" t="s">
        <v>326</v>
      </c>
      <c r="H34" s="23" t="str">
        <f>$A$45</f>
        <v>Talent M1</v>
      </c>
      <c r="I34" s="24"/>
      <c r="J34" s="20"/>
      <c r="K34" s="25" t="s">
        <v>326</v>
      </c>
      <c r="L34" s="26"/>
      <c r="M34" s="27" t="str">
        <f>Scheids!$F$7</f>
        <v>Peter Lips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Widar M2</v>
      </c>
      <c r="F36" s="23"/>
      <c r="G36" s="21" t="s">
        <v>326</v>
      </c>
      <c r="H36" s="23" t="str">
        <f>$A$41</f>
        <v>Tuin M1</v>
      </c>
      <c r="I36" s="24"/>
      <c r="J36" s="20"/>
      <c r="K36" s="25" t="s">
        <v>326</v>
      </c>
      <c r="L36" s="26"/>
      <c r="M36" s="27" t="str">
        <f>Scheids!$D$7</f>
        <v>Guus Heemskerk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Talent M1</v>
      </c>
      <c r="F37" s="23"/>
      <c r="G37" s="21" t="s">
        <v>326</v>
      </c>
      <c r="H37" s="23" t="str">
        <f>$A$42</f>
        <v>Maria M3</v>
      </c>
      <c r="I37" s="24"/>
      <c r="J37" s="20"/>
      <c r="K37" s="25" t="s">
        <v>326</v>
      </c>
      <c r="L37" s="26"/>
      <c r="M37" s="27" t="str">
        <f>Scheids!$F$7</f>
        <v>Peter Lips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Regenboog M1</v>
      </c>
      <c r="F38" s="34"/>
      <c r="G38" s="32" t="s">
        <v>326</v>
      </c>
      <c r="H38" s="34" t="str">
        <f>$A$44</f>
        <v>Springwijs M2</v>
      </c>
      <c r="I38" s="35"/>
      <c r="J38" s="31"/>
      <c r="K38" s="36" t="s">
        <v>326</v>
      </c>
      <c r="L38" s="37"/>
      <c r="M38" s="121" t="str">
        <f>Scheids!$F$7</f>
        <v>Peter Lips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Scholen!$D$10</f>
        <v>Tuin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Scholen!$D$11</f>
        <v>Maria M3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Scholen!$D$12</f>
        <v>Galjoen M2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Scholen!$D$13</f>
        <v>Springwijs M2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>
        <f t="shared" si="1"/>
        <v>2</v>
      </c>
      <c r="Y44" s="2">
        <v>2</v>
      </c>
    </row>
    <row r="45" spans="1:25" ht="18.75" customHeight="1" x14ac:dyDescent="0.25">
      <c r="A45" s="138" t="str">
        <f>Scholen!$D$14</f>
        <v>Talent M1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Scholen!$D$15</f>
        <v>Widar M2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5" ht="18.75" customHeight="1" x14ac:dyDescent="0.25">
      <c r="A47" s="138" t="str">
        <f>IF(Scholen!$D$16&lt;&gt;"",Scholen!$D$16,"")</f>
        <v>Regenboog M1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IF(Scholen!$D$17&lt;&gt;"",Scholen!$D$17,"")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Y48"/>
  <sheetViews>
    <sheetView topLeftCell="A12" zoomScaleNormal="100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Scholen!$F$8</f>
        <v>Meisjes</v>
      </c>
      <c r="F8" s="175"/>
      <c r="G8" s="175"/>
      <c r="H8" s="176" t="s">
        <v>1</v>
      </c>
      <c r="I8" s="177" t="s">
        <v>4</v>
      </c>
      <c r="J8" s="175" t="s">
        <v>11</v>
      </c>
      <c r="K8" s="228">
        <f>Scholen!$G$7</f>
        <v>3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Eglantier-B M1</v>
      </c>
      <c r="F11" s="91"/>
      <c r="G11" s="89" t="s">
        <v>326</v>
      </c>
      <c r="H11" s="91" t="str">
        <f>$A$42</f>
        <v>Horizon M2</v>
      </c>
      <c r="I11" s="15"/>
      <c r="J11" s="14"/>
      <c r="K11" s="92" t="s">
        <v>326</v>
      </c>
      <c r="L11" s="16"/>
      <c r="M11" s="17" t="str">
        <f>Scheids!$D$8</f>
        <v>Leo Boer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Maria M4</v>
      </c>
      <c r="F12" s="23"/>
      <c r="G12" s="21" t="s">
        <v>326</v>
      </c>
      <c r="H12" s="23" t="str">
        <f>$A$44</f>
        <v>Galjoen M3</v>
      </c>
      <c r="I12" s="24"/>
      <c r="J12" s="20"/>
      <c r="K12" s="25" t="s">
        <v>326</v>
      </c>
      <c r="L12" s="26"/>
      <c r="M12" s="27" t="str">
        <f>Scheids!$D$8</f>
        <v>Leo Boer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Springwijs M3</v>
      </c>
      <c r="F13" s="23"/>
      <c r="G13" s="21" t="s">
        <v>326</v>
      </c>
      <c r="H13" s="23" t="str">
        <f>$A$46</f>
        <v>Maan M1</v>
      </c>
      <c r="I13" s="24"/>
      <c r="J13" s="20"/>
      <c r="K13" s="25" t="s">
        <v>326</v>
      </c>
      <c r="L13" s="26"/>
      <c r="M13" s="27" t="str">
        <f>Scheids!$D$8</f>
        <v>Leo Boer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Horizon M2</v>
      </c>
      <c r="F15" s="23"/>
      <c r="G15" s="21" t="s">
        <v>326</v>
      </c>
      <c r="H15" s="23" t="str">
        <f>$A$43</f>
        <v>Maria M4</v>
      </c>
      <c r="I15" s="24"/>
      <c r="J15" s="20"/>
      <c r="K15" s="25" t="s">
        <v>326</v>
      </c>
      <c r="L15" s="26"/>
      <c r="M15" s="27" t="str">
        <f>Scheids!$F$8</f>
        <v>Henk Priem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Galjoen M3</v>
      </c>
      <c r="F16" s="23"/>
      <c r="G16" s="21" t="s">
        <v>326</v>
      </c>
      <c r="H16" s="23" t="str">
        <f>$A$45</f>
        <v>Springwijs M3</v>
      </c>
      <c r="I16" s="24"/>
      <c r="J16" s="20"/>
      <c r="K16" s="25" t="s">
        <v>326</v>
      </c>
      <c r="L16" s="26"/>
      <c r="M16" s="27" t="str">
        <f>Scheids!$F$8</f>
        <v>Henk Priem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Maan M1</v>
      </c>
      <c r="F17" s="23"/>
      <c r="G17" s="21" t="s">
        <v>326</v>
      </c>
      <c r="H17" s="23" t="str">
        <f>$A$47</f>
        <v>Widar M3</v>
      </c>
      <c r="I17" s="24"/>
      <c r="J17" s="20"/>
      <c r="K17" s="25" t="s">
        <v>326</v>
      </c>
      <c r="L17" s="26"/>
      <c r="M17" s="27" t="str">
        <f>Scheids!$F$8</f>
        <v>Henk Priem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Galjoen M3</v>
      </c>
      <c r="F19" s="23"/>
      <c r="G19" s="21" t="s">
        <v>326</v>
      </c>
      <c r="H19" s="23" t="str">
        <f>$A$42</f>
        <v>Horizon M2</v>
      </c>
      <c r="I19" s="24"/>
      <c r="J19" s="20"/>
      <c r="K19" s="25" t="s">
        <v>326</v>
      </c>
      <c r="L19" s="26"/>
      <c r="M19" s="27" t="str">
        <f>Scheids!$D$8</f>
        <v>Leo Boer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Maria M4</v>
      </c>
      <c r="F20" s="23"/>
      <c r="G20" s="21" t="s">
        <v>326</v>
      </c>
      <c r="H20" s="23" t="str">
        <f>$A$45</f>
        <v>Springwijs M3</v>
      </c>
      <c r="I20" s="24"/>
      <c r="J20" s="20"/>
      <c r="K20" s="25" t="s">
        <v>326</v>
      </c>
      <c r="L20" s="26"/>
      <c r="M20" s="27" t="str">
        <f>Scheids!$D$8</f>
        <v>Leo Boer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Eglantier-B M1</v>
      </c>
      <c r="F21" s="23"/>
      <c r="G21" s="21" t="s">
        <v>326</v>
      </c>
      <c r="H21" s="23" t="str">
        <f>$A$47</f>
        <v>Widar M3</v>
      </c>
      <c r="I21" s="24"/>
      <c r="J21" s="20"/>
      <c r="K21" s="25" t="s">
        <v>326</v>
      </c>
      <c r="L21" s="26"/>
      <c r="M21" s="27" t="str">
        <f>Scheids!$D$8</f>
        <v>Leo Boer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Eglantier-B M1</v>
      </c>
      <c r="F23" s="23"/>
      <c r="G23" s="21" t="s">
        <v>326</v>
      </c>
      <c r="H23" s="23" t="str">
        <f>$A$43</f>
        <v>Maria M4</v>
      </c>
      <c r="I23" s="24"/>
      <c r="J23" s="20"/>
      <c r="K23" s="25" t="s">
        <v>326</v>
      </c>
      <c r="L23" s="26"/>
      <c r="M23" s="27" t="str">
        <f>Scheids!$F$8</f>
        <v>Henk Priem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Maan M1</v>
      </c>
      <c r="F24" s="23"/>
      <c r="G24" s="21" t="s">
        <v>326</v>
      </c>
      <c r="H24" s="23" t="str">
        <f>$A$44</f>
        <v>Galjoen M3</v>
      </c>
      <c r="I24" s="24"/>
      <c r="J24" s="20"/>
      <c r="K24" s="25" t="s">
        <v>326</v>
      </c>
      <c r="L24" s="26"/>
      <c r="M24" s="27" t="str">
        <f>Scheids!$F$8</f>
        <v>Henk Priem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Horizon M2</v>
      </c>
      <c r="F25" s="23"/>
      <c r="G25" s="21" t="s">
        <v>326</v>
      </c>
      <c r="H25" s="23" t="str">
        <f>$A$47</f>
        <v>Widar M3</v>
      </c>
      <c r="I25" s="24"/>
      <c r="J25" s="20"/>
      <c r="K25" s="25" t="s">
        <v>326</v>
      </c>
      <c r="L25" s="26"/>
      <c r="M25" s="27" t="str">
        <f>Scheids!$F$8</f>
        <v>Henk Priem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Maria M4</v>
      </c>
      <c r="F27" s="23"/>
      <c r="G27" s="21" t="s">
        <v>326</v>
      </c>
      <c r="H27" s="23" t="str">
        <f>$A$46</f>
        <v>Maan M1</v>
      </c>
      <c r="I27" s="24"/>
      <c r="J27" s="20"/>
      <c r="K27" s="25" t="s">
        <v>326</v>
      </c>
      <c r="L27" s="26"/>
      <c r="M27" s="27" t="str">
        <f>Scheids!$D$8</f>
        <v>Leo Boer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Galjoen M3</v>
      </c>
      <c r="F29" s="23"/>
      <c r="G29" s="21" t="s">
        <v>326</v>
      </c>
      <c r="H29" s="23" t="str">
        <f>$A$41</f>
        <v>Eglantier-B M1</v>
      </c>
      <c r="I29" s="24"/>
      <c r="J29" s="20"/>
      <c r="K29" s="25" t="s">
        <v>326</v>
      </c>
      <c r="L29" s="26"/>
      <c r="M29" s="27" t="str">
        <f>Scheids!$D$8</f>
        <v>Leo Boer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Widar M3</v>
      </c>
      <c r="F30" s="23"/>
      <c r="G30" s="21" t="s">
        <v>326</v>
      </c>
      <c r="H30" s="23" t="str">
        <f>$A$45</f>
        <v>Springwijs M3</v>
      </c>
      <c r="I30" s="24"/>
      <c r="J30" s="20"/>
      <c r="K30" s="25" t="s">
        <v>326</v>
      </c>
      <c r="L30" s="26"/>
      <c r="M30" s="27" t="str">
        <f>Scheids!$D$8</f>
        <v>Leo Boer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Maria M4</v>
      </c>
      <c r="F32" s="23"/>
      <c r="G32" s="21" t="s">
        <v>326</v>
      </c>
      <c r="H32" s="23" t="str">
        <f>$A$47</f>
        <v>Widar M3</v>
      </c>
      <c r="I32" s="24"/>
      <c r="J32" s="20"/>
      <c r="K32" s="25" t="s">
        <v>326</v>
      </c>
      <c r="L32" s="26"/>
      <c r="M32" s="27" t="str">
        <f>Scheids!$F$8</f>
        <v>Henk Priem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Horizon M2</v>
      </c>
      <c r="F33" s="23"/>
      <c r="G33" s="21" t="s">
        <v>326</v>
      </c>
      <c r="H33" s="23" t="str">
        <f>$A$46</f>
        <v>Maan M1</v>
      </c>
      <c r="I33" s="24"/>
      <c r="J33" s="20"/>
      <c r="K33" s="25" t="s">
        <v>326</v>
      </c>
      <c r="L33" s="26"/>
      <c r="M33" s="27" t="str">
        <f>Scheids!$F$8</f>
        <v>Henk Priem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Eglantier-B M1</v>
      </c>
      <c r="F34" s="23"/>
      <c r="G34" s="21" t="s">
        <v>326</v>
      </c>
      <c r="H34" s="23" t="str">
        <f>$A$45</f>
        <v>Springwijs M3</v>
      </c>
      <c r="I34" s="24"/>
      <c r="J34" s="20"/>
      <c r="K34" s="25" t="s">
        <v>326</v>
      </c>
      <c r="L34" s="26"/>
      <c r="M34" s="27" t="str">
        <f>Scheids!$F$8</f>
        <v>Henk Priem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Maan M1</v>
      </c>
      <c r="F36" s="23"/>
      <c r="G36" s="21" t="s">
        <v>326</v>
      </c>
      <c r="H36" s="23" t="str">
        <f>$A$41</f>
        <v>Eglantier-B M1</v>
      </c>
      <c r="I36" s="24"/>
      <c r="J36" s="20"/>
      <c r="K36" s="25" t="s">
        <v>326</v>
      </c>
      <c r="L36" s="26"/>
      <c r="M36" s="27" t="str">
        <f>Scheids!$D$8</f>
        <v>Leo Boer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Springwijs M3</v>
      </c>
      <c r="F37" s="23"/>
      <c r="G37" s="21" t="s">
        <v>326</v>
      </c>
      <c r="H37" s="23" t="str">
        <f>$A$42</f>
        <v>Horizon M2</v>
      </c>
      <c r="I37" s="24"/>
      <c r="J37" s="20"/>
      <c r="K37" s="25" t="s">
        <v>326</v>
      </c>
      <c r="L37" s="26"/>
      <c r="M37" s="27" t="str">
        <f>Scheids!$F$8</f>
        <v>Henk Priem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Widar M3</v>
      </c>
      <c r="F38" s="34"/>
      <c r="G38" s="32" t="s">
        <v>326</v>
      </c>
      <c r="H38" s="34" t="str">
        <f>$A$44</f>
        <v>Galjoen M3</v>
      </c>
      <c r="I38" s="35"/>
      <c r="J38" s="31"/>
      <c r="K38" s="36" t="s">
        <v>326</v>
      </c>
      <c r="L38" s="37"/>
      <c r="M38" s="121" t="str">
        <f>Scheids!$F$8</f>
        <v>Henk Priem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Scholen!$F$10</f>
        <v>Eglantier-B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Scholen!$F$11</f>
        <v>Horizon M2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Scholen!$F$12</f>
        <v>Maria M4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Scholen!$F$13</f>
        <v>Galjoen M3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Scholen!$F$14</f>
        <v>Springwijs M3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Scholen!$F$15</f>
        <v>Maan M1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>
        <f t="shared" si="1"/>
        <v>2</v>
      </c>
      <c r="Y46" s="2">
        <v>2</v>
      </c>
    </row>
    <row r="47" spans="1:25" ht="18.75" customHeight="1" x14ac:dyDescent="0.25">
      <c r="A47" s="138" t="str">
        <f>IF(Scholen!$F$16&lt;&gt;"",Scholen!$F$16,"")</f>
        <v>Widar M3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IF(Scholen!$F$17&lt;&gt;"",Scholen!$F$17,"")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Scholen!$H$8</f>
        <v>Meisjes</v>
      </c>
      <c r="F8" s="175"/>
      <c r="G8" s="175"/>
      <c r="H8" s="176" t="s">
        <v>1</v>
      </c>
      <c r="I8" s="177" t="s">
        <v>5</v>
      </c>
      <c r="J8" s="175" t="s">
        <v>11</v>
      </c>
      <c r="K8" s="228">
        <f>Scholen!$I$7</f>
        <v>4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Laurentius M1</v>
      </c>
      <c r="F11" s="91"/>
      <c r="G11" s="89" t="s">
        <v>326</v>
      </c>
      <c r="H11" s="91" t="str">
        <f>$A$42</f>
        <v>DSV M2</v>
      </c>
      <c r="I11" s="15"/>
      <c r="J11" s="14"/>
      <c r="K11" s="92" t="s">
        <v>326</v>
      </c>
      <c r="L11" s="16"/>
      <c r="M11" s="17" t="str">
        <f>Scheids!$D$9</f>
        <v xml:space="preserve">Anita Schouten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Talent M2</v>
      </c>
      <c r="F12" s="23"/>
      <c r="G12" s="21" t="s">
        <v>326</v>
      </c>
      <c r="H12" s="23" t="str">
        <f>$A$44</f>
        <v>Maria M5</v>
      </c>
      <c r="I12" s="24"/>
      <c r="J12" s="20"/>
      <c r="K12" s="25" t="s">
        <v>326</v>
      </c>
      <c r="L12" s="26"/>
      <c r="M12" s="27" t="str">
        <f>Scheids!$D$9</f>
        <v xml:space="preserve">Anita Schouten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Galjoen M4</v>
      </c>
      <c r="F13" s="23"/>
      <c r="G13" s="21" t="s">
        <v>326</v>
      </c>
      <c r="H13" s="23" t="str">
        <f>$A$46</f>
        <v>Max M2</v>
      </c>
      <c r="I13" s="24"/>
      <c r="J13" s="20"/>
      <c r="K13" s="25" t="s">
        <v>326</v>
      </c>
      <c r="L13" s="26"/>
      <c r="M13" s="27" t="str">
        <f>Scheids!$D$9</f>
        <v xml:space="preserve">Anita Schouten 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DSV M2</v>
      </c>
      <c r="F15" s="23"/>
      <c r="G15" s="21" t="s">
        <v>326</v>
      </c>
      <c r="H15" s="23" t="str">
        <f>$A$43</f>
        <v>Talent M2</v>
      </c>
      <c r="I15" s="24"/>
      <c r="J15" s="20"/>
      <c r="K15" s="25" t="s">
        <v>326</v>
      </c>
      <c r="L15" s="26"/>
      <c r="M15" s="27" t="str">
        <f>Scheids!$F$9</f>
        <v>Stefan de Vink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M5</v>
      </c>
      <c r="F16" s="23"/>
      <c r="G16" s="21" t="s">
        <v>326</v>
      </c>
      <c r="H16" s="23" t="str">
        <f>$A$45</f>
        <v>Galjoen M4</v>
      </c>
      <c r="I16" s="24"/>
      <c r="J16" s="20"/>
      <c r="K16" s="25" t="s">
        <v>326</v>
      </c>
      <c r="L16" s="26"/>
      <c r="M16" s="27" t="str">
        <f>Scheids!$F$9</f>
        <v>Stefan de Vink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Max M2</v>
      </c>
      <c r="F17" s="23"/>
      <c r="G17" s="21" t="s">
        <v>326</v>
      </c>
      <c r="H17" s="23" t="str">
        <f>$A$47</f>
        <v>Tuin M2</v>
      </c>
      <c r="I17" s="24"/>
      <c r="J17" s="20"/>
      <c r="K17" s="25" t="s">
        <v>326</v>
      </c>
      <c r="L17" s="26"/>
      <c r="M17" s="27" t="str">
        <f>Scheids!$F$9</f>
        <v>Stefan de Vink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M5</v>
      </c>
      <c r="F19" s="23"/>
      <c r="G19" s="21" t="s">
        <v>326</v>
      </c>
      <c r="H19" s="23" t="str">
        <f>$A$42</f>
        <v>DSV M2</v>
      </c>
      <c r="I19" s="24"/>
      <c r="J19" s="20"/>
      <c r="K19" s="25" t="s">
        <v>326</v>
      </c>
      <c r="L19" s="26"/>
      <c r="M19" s="27" t="str">
        <f>Scheids!$D$9</f>
        <v xml:space="preserve">Anita Schouten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Talent M2</v>
      </c>
      <c r="F20" s="23"/>
      <c r="G20" s="21" t="s">
        <v>326</v>
      </c>
      <c r="H20" s="23" t="str">
        <f>$A$45</f>
        <v>Galjoen M4</v>
      </c>
      <c r="I20" s="24"/>
      <c r="J20" s="20"/>
      <c r="K20" s="25" t="s">
        <v>326</v>
      </c>
      <c r="L20" s="26"/>
      <c r="M20" s="27" t="str">
        <f>Scheids!$D$9</f>
        <v xml:space="preserve">Anita Schouten 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Laurentius M1</v>
      </c>
      <c r="F21" s="23"/>
      <c r="G21" s="21" t="s">
        <v>326</v>
      </c>
      <c r="H21" s="23" t="str">
        <f>$A$47</f>
        <v>Tuin M2</v>
      </c>
      <c r="I21" s="24"/>
      <c r="J21" s="20"/>
      <c r="K21" s="25" t="s">
        <v>326</v>
      </c>
      <c r="L21" s="26"/>
      <c r="M21" s="27" t="str">
        <f>Scheids!$D$9</f>
        <v xml:space="preserve">Anita Schouten 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Laurentius M1</v>
      </c>
      <c r="F23" s="23"/>
      <c r="G23" s="21" t="s">
        <v>326</v>
      </c>
      <c r="H23" s="23" t="str">
        <f>$A$43</f>
        <v>Talent M2</v>
      </c>
      <c r="I23" s="24"/>
      <c r="J23" s="20"/>
      <c r="K23" s="25" t="s">
        <v>326</v>
      </c>
      <c r="L23" s="26"/>
      <c r="M23" s="27" t="str">
        <f>Scheids!$F$9</f>
        <v>Stefan de Vink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Max M2</v>
      </c>
      <c r="F24" s="23"/>
      <c r="G24" s="21" t="s">
        <v>326</v>
      </c>
      <c r="H24" s="23" t="str">
        <f>$A$44</f>
        <v>Maria M5</v>
      </c>
      <c r="I24" s="24"/>
      <c r="J24" s="20"/>
      <c r="K24" s="25" t="s">
        <v>326</v>
      </c>
      <c r="L24" s="26"/>
      <c r="M24" s="27" t="str">
        <f>Scheids!$F$9</f>
        <v>Stefan de Vink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DSV M2</v>
      </c>
      <c r="F25" s="23"/>
      <c r="G25" s="21" t="s">
        <v>326</v>
      </c>
      <c r="H25" s="23" t="str">
        <f>$A$47</f>
        <v>Tuin M2</v>
      </c>
      <c r="I25" s="24"/>
      <c r="J25" s="20"/>
      <c r="K25" s="25" t="s">
        <v>326</v>
      </c>
      <c r="L25" s="26"/>
      <c r="M25" s="27" t="str">
        <f>Scheids!$F$9</f>
        <v>Stefan de Vink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Talent M2</v>
      </c>
      <c r="F27" s="23"/>
      <c r="G27" s="21" t="s">
        <v>326</v>
      </c>
      <c r="H27" s="23" t="str">
        <f>$A$46</f>
        <v>Max M2</v>
      </c>
      <c r="I27" s="24"/>
      <c r="J27" s="20"/>
      <c r="K27" s="25" t="s">
        <v>326</v>
      </c>
      <c r="L27" s="26"/>
      <c r="M27" s="27" t="str">
        <f>Scheids!$D$9</f>
        <v xml:space="preserve">Anita Schouten 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M5</v>
      </c>
      <c r="F29" s="23"/>
      <c r="G29" s="21" t="s">
        <v>326</v>
      </c>
      <c r="H29" s="23" t="str">
        <f>$A$41</f>
        <v>Laurentius M1</v>
      </c>
      <c r="I29" s="24"/>
      <c r="J29" s="20"/>
      <c r="K29" s="25" t="s">
        <v>326</v>
      </c>
      <c r="L29" s="26"/>
      <c r="M29" s="27" t="str">
        <f>Scheids!$D$9</f>
        <v xml:space="preserve">Anita Schouten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Tuin M2</v>
      </c>
      <c r="F30" s="23"/>
      <c r="G30" s="21" t="s">
        <v>326</v>
      </c>
      <c r="H30" s="23" t="str">
        <f>$A$45</f>
        <v>Galjoen M4</v>
      </c>
      <c r="I30" s="24"/>
      <c r="J30" s="20"/>
      <c r="K30" s="25" t="s">
        <v>326</v>
      </c>
      <c r="L30" s="26"/>
      <c r="M30" s="27" t="str">
        <f>Scheids!$D$9</f>
        <v xml:space="preserve">Anita Schouten 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Talent M2</v>
      </c>
      <c r="F32" s="23"/>
      <c r="G32" s="21" t="s">
        <v>326</v>
      </c>
      <c r="H32" s="23" t="str">
        <f>$A$47</f>
        <v>Tuin M2</v>
      </c>
      <c r="I32" s="24"/>
      <c r="J32" s="20"/>
      <c r="K32" s="25" t="s">
        <v>326</v>
      </c>
      <c r="L32" s="26"/>
      <c r="M32" s="27" t="str">
        <f>Scheids!$F$9</f>
        <v>Stefan de Vink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DSV M2</v>
      </c>
      <c r="F33" s="23"/>
      <c r="G33" s="21" t="s">
        <v>326</v>
      </c>
      <c r="H33" s="23" t="str">
        <f>$A$46</f>
        <v>Max M2</v>
      </c>
      <c r="I33" s="24"/>
      <c r="J33" s="20"/>
      <c r="K33" s="25" t="s">
        <v>326</v>
      </c>
      <c r="L33" s="26"/>
      <c r="M33" s="27" t="str">
        <f>Scheids!$F$9</f>
        <v>Stefan de Vink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Laurentius M1</v>
      </c>
      <c r="F34" s="23"/>
      <c r="G34" s="21" t="s">
        <v>326</v>
      </c>
      <c r="H34" s="23" t="str">
        <f>$A$45</f>
        <v>Galjoen M4</v>
      </c>
      <c r="I34" s="24"/>
      <c r="J34" s="20"/>
      <c r="K34" s="25" t="s">
        <v>326</v>
      </c>
      <c r="L34" s="26"/>
      <c r="M34" s="27" t="str">
        <f>Scheids!$F$9</f>
        <v>Stefan de Vink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Max M2</v>
      </c>
      <c r="F36" s="23"/>
      <c r="G36" s="21" t="s">
        <v>326</v>
      </c>
      <c r="H36" s="23" t="str">
        <f>$A$41</f>
        <v>Laurentius M1</v>
      </c>
      <c r="I36" s="24"/>
      <c r="J36" s="20"/>
      <c r="K36" s="25" t="s">
        <v>326</v>
      </c>
      <c r="L36" s="26"/>
      <c r="M36" s="27" t="str">
        <f>Scheids!$D$9</f>
        <v xml:space="preserve">Anita Schouten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Galjoen M4</v>
      </c>
      <c r="F37" s="23"/>
      <c r="G37" s="21" t="s">
        <v>326</v>
      </c>
      <c r="H37" s="23" t="str">
        <f>$A$42</f>
        <v>DSV M2</v>
      </c>
      <c r="I37" s="24"/>
      <c r="J37" s="20"/>
      <c r="K37" s="25" t="s">
        <v>326</v>
      </c>
      <c r="L37" s="26"/>
      <c r="M37" s="27" t="str">
        <f>Scheids!$F$9</f>
        <v>Stefan de Vink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Tuin M2</v>
      </c>
      <c r="F38" s="34"/>
      <c r="G38" s="32" t="s">
        <v>326</v>
      </c>
      <c r="H38" s="34" t="str">
        <f>$A$44</f>
        <v>Maria M5</v>
      </c>
      <c r="I38" s="35"/>
      <c r="J38" s="31"/>
      <c r="K38" s="36" t="s">
        <v>326</v>
      </c>
      <c r="L38" s="37"/>
      <c r="M38" s="121" t="str">
        <f>Scheids!$F$9</f>
        <v>Stefan de Vink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Scholen!$H$10</f>
        <v>Laurentius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Scholen!$H$11</f>
        <v>DSV M2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Scholen!$H$12</f>
        <v>Talent M2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Scholen!$H$13</f>
        <v>Maria M5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Scholen!$H$14</f>
        <v>Galjoen M4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Scholen!$H$15</f>
        <v>Max M2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IF(Scholen!$H$16&lt;&gt;"",Scholen!$H$16,"")</f>
        <v>Tuin M2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IF(Scholen!$H$17&lt;&gt;"",Scholen!$H$17,"")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Scholen!$J$8</f>
        <v>Meisjes</v>
      </c>
      <c r="F8" s="175"/>
      <c r="G8" s="175"/>
      <c r="H8" s="176" t="s">
        <v>1</v>
      </c>
      <c r="I8" s="177" t="s">
        <v>6</v>
      </c>
      <c r="J8" s="175" t="s">
        <v>11</v>
      </c>
      <c r="K8" s="228">
        <f>Scholen!$K$7</f>
        <v>5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Mozaïek M1</v>
      </c>
      <c r="F11" s="91"/>
      <c r="G11" s="89" t="s">
        <v>326</v>
      </c>
      <c r="H11" s="91" t="str">
        <f>$A$42</f>
        <v>BMS M1</v>
      </c>
      <c r="I11" s="15"/>
      <c r="J11" s="14"/>
      <c r="K11" s="92" t="s">
        <v>326</v>
      </c>
      <c r="L11" s="16"/>
      <c r="M11" s="17" t="str">
        <f>Scheids!$D$10</f>
        <v>Diana Schouten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Bonte Pael M1</v>
      </c>
      <c r="F12" s="23"/>
      <c r="G12" s="21" t="s">
        <v>326</v>
      </c>
      <c r="H12" s="23" t="str">
        <f>$A$44</f>
        <v>Maria M6</v>
      </c>
      <c r="I12" s="24"/>
      <c r="J12" s="20"/>
      <c r="K12" s="25" t="s">
        <v>326</v>
      </c>
      <c r="L12" s="26"/>
      <c r="M12" s="27" t="str">
        <f>Scheids!$D$10</f>
        <v>Diana Schouten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Maria M7</v>
      </c>
      <c r="F13" s="23"/>
      <c r="G13" s="21" t="s">
        <v>326</v>
      </c>
      <c r="H13" s="23" t="str">
        <f>$A$46</f>
        <v>Oostpoort M1</v>
      </c>
      <c r="I13" s="24"/>
      <c r="J13" s="20"/>
      <c r="K13" s="25" t="s">
        <v>326</v>
      </c>
      <c r="L13" s="26"/>
      <c r="M13" s="27" t="str">
        <f>Scheids!$D$10</f>
        <v>Diana Schouten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BMS M1</v>
      </c>
      <c r="F15" s="23"/>
      <c r="G15" s="21" t="s">
        <v>326</v>
      </c>
      <c r="H15" s="23" t="str">
        <f>$A$43</f>
        <v>Bonte Pael M1</v>
      </c>
      <c r="I15" s="24"/>
      <c r="J15" s="20"/>
      <c r="K15" s="25" t="s">
        <v>326</v>
      </c>
      <c r="L15" s="26"/>
      <c r="M15" s="27" t="str">
        <f>Scheids!$F$10</f>
        <v>Dianne Slingerland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M6</v>
      </c>
      <c r="F16" s="23"/>
      <c r="G16" s="21" t="s">
        <v>326</v>
      </c>
      <c r="H16" s="23" t="str">
        <f>$A$45</f>
        <v>Maria M7</v>
      </c>
      <c r="I16" s="24"/>
      <c r="J16" s="20"/>
      <c r="K16" s="25" t="s">
        <v>326</v>
      </c>
      <c r="L16" s="26"/>
      <c r="M16" s="27" t="str">
        <f>Scheids!$F$10</f>
        <v>Dianne Slingerland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Oostpoort M1</v>
      </c>
      <c r="F17" s="23"/>
      <c r="G17" s="21" t="s">
        <v>326</v>
      </c>
      <c r="H17" s="23" t="str">
        <f>$A$47</f>
        <v>Waterhof M1</v>
      </c>
      <c r="I17" s="24"/>
      <c r="J17" s="20"/>
      <c r="K17" s="25" t="s">
        <v>326</v>
      </c>
      <c r="L17" s="26"/>
      <c r="M17" s="27" t="str">
        <f>Scheids!$F$10</f>
        <v>Dianne Slingerland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M6</v>
      </c>
      <c r="F19" s="23"/>
      <c r="G19" s="21" t="s">
        <v>326</v>
      </c>
      <c r="H19" s="23" t="str">
        <f>$A$42</f>
        <v>BMS M1</v>
      </c>
      <c r="I19" s="24"/>
      <c r="J19" s="20"/>
      <c r="K19" s="25" t="s">
        <v>326</v>
      </c>
      <c r="L19" s="26"/>
      <c r="M19" s="27" t="str">
        <f>Scheids!$D$10</f>
        <v>Diana Schouten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Bonte Pael M1</v>
      </c>
      <c r="F20" s="23"/>
      <c r="G20" s="21" t="s">
        <v>326</v>
      </c>
      <c r="H20" s="23" t="str">
        <f>$A$45</f>
        <v>Maria M7</v>
      </c>
      <c r="I20" s="24"/>
      <c r="J20" s="20"/>
      <c r="K20" s="25" t="s">
        <v>326</v>
      </c>
      <c r="L20" s="26"/>
      <c r="M20" s="27" t="str">
        <f>Scheids!$D$10</f>
        <v>Diana Schouten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Mozaïek M1</v>
      </c>
      <c r="F21" s="23"/>
      <c r="G21" s="21" t="s">
        <v>326</v>
      </c>
      <c r="H21" s="23" t="str">
        <f>$A$47</f>
        <v>Waterhof M1</v>
      </c>
      <c r="I21" s="24"/>
      <c r="J21" s="20"/>
      <c r="K21" s="25" t="s">
        <v>326</v>
      </c>
      <c r="L21" s="26"/>
      <c r="M21" s="27" t="str">
        <f>Scheids!$D$10</f>
        <v>Diana Schouten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Mozaïek M1</v>
      </c>
      <c r="F23" s="23"/>
      <c r="G23" s="21" t="s">
        <v>326</v>
      </c>
      <c r="H23" s="23" t="str">
        <f>$A$43</f>
        <v>Bonte Pael M1</v>
      </c>
      <c r="I23" s="24"/>
      <c r="J23" s="20"/>
      <c r="K23" s="25" t="s">
        <v>326</v>
      </c>
      <c r="L23" s="26"/>
      <c r="M23" s="27" t="str">
        <f>Scheids!$F$10</f>
        <v>Dianne Slingerland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Oostpoort M1</v>
      </c>
      <c r="F24" s="23"/>
      <c r="G24" s="21" t="s">
        <v>326</v>
      </c>
      <c r="H24" s="23" t="str">
        <f>$A$44</f>
        <v>Maria M6</v>
      </c>
      <c r="I24" s="24"/>
      <c r="J24" s="20"/>
      <c r="K24" s="25" t="s">
        <v>326</v>
      </c>
      <c r="L24" s="26"/>
      <c r="M24" s="27" t="str">
        <f>Scheids!$F$10</f>
        <v>Dianne Slingerland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BMS M1</v>
      </c>
      <c r="F25" s="23"/>
      <c r="G25" s="21" t="s">
        <v>326</v>
      </c>
      <c r="H25" s="23" t="str">
        <f>$A$47</f>
        <v>Waterhof M1</v>
      </c>
      <c r="I25" s="24"/>
      <c r="J25" s="20"/>
      <c r="K25" s="25" t="s">
        <v>326</v>
      </c>
      <c r="L25" s="26"/>
      <c r="M25" s="27" t="str">
        <f>Scheids!$F$10</f>
        <v>Dianne Slingerland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Bonte Pael M1</v>
      </c>
      <c r="F27" s="23"/>
      <c r="G27" s="21" t="s">
        <v>326</v>
      </c>
      <c r="H27" s="23" t="str">
        <f>$A$46</f>
        <v>Oostpoort M1</v>
      </c>
      <c r="I27" s="24"/>
      <c r="J27" s="20"/>
      <c r="K27" s="25" t="s">
        <v>326</v>
      </c>
      <c r="L27" s="26"/>
      <c r="M27" s="27" t="str">
        <f>Scheids!$D$10</f>
        <v>Diana Schouten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M6</v>
      </c>
      <c r="F29" s="23"/>
      <c r="G29" s="21" t="s">
        <v>326</v>
      </c>
      <c r="H29" s="23" t="str">
        <f>$A$41</f>
        <v>Mozaïek M1</v>
      </c>
      <c r="I29" s="24"/>
      <c r="J29" s="20"/>
      <c r="K29" s="25" t="s">
        <v>326</v>
      </c>
      <c r="L29" s="26"/>
      <c r="M29" s="27" t="str">
        <f>Scheids!$D$10</f>
        <v>Diana Schouten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Waterhof M1</v>
      </c>
      <c r="F30" s="23"/>
      <c r="G30" s="21" t="s">
        <v>326</v>
      </c>
      <c r="H30" s="23" t="str">
        <f>$A$45</f>
        <v>Maria M7</v>
      </c>
      <c r="I30" s="24"/>
      <c r="J30" s="20"/>
      <c r="K30" s="25" t="s">
        <v>326</v>
      </c>
      <c r="L30" s="26"/>
      <c r="M30" s="27" t="str">
        <f>Scheids!$D$10</f>
        <v>Diana Schouten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Bonte Pael M1</v>
      </c>
      <c r="F32" s="23"/>
      <c r="G32" s="21" t="s">
        <v>326</v>
      </c>
      <c r="H32" s="23" t="str">
        <f>$A$47</f>
        <v>Waterhof M1</v>
      </c>
      <c r="I32" s="24"/>
      <c r="J32" s="20"/>
      <c r="K32" s="25" t="s">
        <v>326</v>
      </c>
      <c r="L32" s="26"/>
      <c r="M32" s="27" t="str">
        <f>Scheids!$F$10</f>
        <v>Dianne Slingerland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BMS M1</v>
      </c>
      <c r="F33" s="23"/>
      <c r="G33" s="21" t="s">
        <v>326</v>
      </c>
      <c r="H33" s="23" t="str">
        <f>$A$46</f>
        <v>Oostpoort M1</v>
      </c>
      <c r="I33" s="24"/>
      <c r="J33" s="20"/>
      <c r="K33" s="25" t="s">
        <v>326</v>
      </c>
      <c r="L33" s="26"/>
      <c r="M33" s="27" t="str">
        <f>Scheids!$F$10</f>
        <v>Dianne Slingerland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Mozaïek M1</v>
      </c>
      <c r="F34" s="23"/>
      <c r="G34" s="21" t="s">
        <v>326</v>
      </c>
      <c r="H34" s="23" t="str">
        <f>$A$45</f>
        <v>Maria M7</v>
      </c>
      <c r="I34" s="24"/>
      <c r="J34" s="20"/>
      <c r="K34" s="25" t="s">
        <v>326</v>
      </c>
      <c r="L34" s="26"/>
      <c r="M34" s="27" t="str">
        <f>Scheids!$F$10</f>
        <v>Dianne Slingerland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Oostpoort M1</v>
      </c>
      <c r="F36" s="23"/>
      <c r="G36" s="21" t="s">
        <v>326</v>
      </c>
      <c r="H36" s="23" t="str">
        <f>$A$41</f>
        <v>Mozaïek M1</v>
      </c>
      <c r="I36" s="24"/>
      <c r="J36" s="20"/>
      <c r="K36" s="25" t="s">
        <v>326</v>
      </c>
      <c r="L36" s="26"/>
      <c r="M36" s="27" t="str">
        <f>Scheids!$D$10</f>
        <v>Diana Schouten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Maria M7</v>
      </c>
      <c r="F37" s="23"/>
      <c r="G37" s="21" t="s">
        <v>326</v>
      </c>
      <c r="H37" s="23" t="str">
        <f>$A$42</f>
        <v>BMS M1</v>
      </c>
      <c r="I37" s="24"/>
      <c r="J37" s="20"/>
      <c r="K37" s="25" t="s">
        <v>326</v>
      </c>
      <c r="L37" s="26"/>
      <c r="M37" s="27" t="str">
        <f>Scheids!$F$10</f>
        <v>Dianne Slingerland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Waterhof M1</v>
      </c>
      <c r="F38" s="34"/>
      <c r="G38" s="32" t="s">
        <v>326</v>
      </c>
      <c r="H38" s="34" t="str">
        <f>$A$44</f>
        <v>Maria M6</v>
      </c>
      <c r="I38" s="35"/>
      <c r="J38" s="31"/>
      <c r="K38" s="36" t="s">
        <v>326</v>
      </c>
      <c r="L38" s="37"/>
      <c r="M38" s="121" t="str">
        <f>Scheids!$F$10</f>
        <v>Dianne Slingerland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Scholen!$J$10</f>
        <v>Mozaïek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Scholen!$J$11</f>
        <v>BMS M1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Scholen!$J$12</f>
        <v>Bonte Pael M1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Scholen!$J$13</f>
        <v>Maria M6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Scholen!$J$14</f>
        <v>Maria M7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Scholen!$J$15</f>
        <v>Oostpoort M1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IF(Scholen!$J$16&lt;&gt;"",Scholen!$J$16,"")</f>
        <v>Waterhof M1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IF(Scholen!$J$17&lt;&gt;"",Scholen!$J$17,"")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/>
  <dimension ref="A1:Y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Scholen!$L$8</f>
        <v>Meisjes</v>
      </c>
      <c r="F8" s="175"/>
      <c r="G8" s="175"/>
      <c r="H8" s="176" t="s">
        <v>1</v>
      </c>
      <c r="I8" s="177" t="s">
        <v>7</v>
      </c>
      <c r="J8" s="175" t="s">
        <v>11</v>
      </c>
      <c r="K8" s="228">
        <f>Scholen!$M$7</f>
        <v>6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Freinet M1</v>
      </c>
      <c r="F11" s="91"/>
      <c r="G11" s="89" t="s">
        <v>326</v>
      </c>
      <c r="H11" s="91" t="str">
        <f>$A$42</f>
        <v>Gabriël M1</v>
      </c>
      <c r="I11" s="15"/>
      <c r="J11" s="14"/>
      <c r="K11" s="92" t="s">
        <v>326</v>
      </c>
      <c r="L11" s="16"/>
      <c r="M11" s="17" t="str">
        <f>Scheids!$D$11</f>
        <v>Ton Haanappel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Rembrandt M1</v>
      </c>
      <c r="F12" s="23"/>
      <c r="G12" s="21" t="s">
        <v>326</v>
      </c>
      <c r="H12" s="23" t="str">
        <f>$A$44</f>
        <v>Maria M8</v>
      </c>
      <c r="I12" s="24"/>
      <c r="J12" s="20"/>
      <c r="K12" s="25" t="s">
        <v>326</v>
      </c>
      <c r="L12" s="26"/>
      <c r="M12" s="27" t="str">
        <f>Scheids!$D$11</f>
        <v>Ton Haanappel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Maurits M2</v>
      </c>
      <c r="F13" s="23"/>
      <c r="G13" s="21" t="s">
        <v>326</v>
      </c>
      <c r="H13" s="23" t="str">
        <f>$A$46</f>
        <v>Maria M9</v>
      </c>
      <c r="I13" s="24"/>
      <c r="J13" s="20"/>
      <c r="K13" s="25" t="s">
        <v>326</v>
      </c>
      <c r="L13" s="26"/>
      <c r="M13" s="27" t="str">
        <f>Scheids!$D$11</f>
        <v>Ton Haanappel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Gabriël M1</v>
      </c>
      <c r="F15" s="23"/>
      <c r="G15" s="21" t="s">
        <v>326</v>
      </c>
      <c r="H15" s="23" t="str">
        <f>$A$43</f>
        <v>Rembrandt M1</v>
      </c>
      <c r="I15" s="24"/>
      <c r="J15" s="20"/>
      <c r="K15" s="25" t="s">
        <v>326</v>
      </c>
      <c r="L15" s="26"/>
      <c r="M15" s="27" t="str">
        <f>Scheids!$F$11</f>
        <v>Iris Klein Bog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M8</v>
      </c>
      <c r="F16" s="23"/>
      <c r="G16" s="21" t="s">
        <v>326</v>
      </c>
      <c r="H16" s="23" t="str">
        <f>$A$45</f>
        <v>Maurits M2</v>
      </c>
      <c r="I16" s="24"/>
      <c r="J16" s="20"/>
      <c r="K16" s="25" t="s">
        <v>326</v>
      </c>
      <c r="L16" s="26"/>
      <c r="M16" s="27" t="str">
        <f>Scheids!$F$11</f>
        <v>Iris Klein Bog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Maria M9</v>
      </c>
      <c r="F17" s="23"/>
      <c r="G17" s="21" t="s">
        <v>326</v>
      </c>
      <c r="H17" s="23" t="str">
        <f>$A$47</f>
        <v>Maan M2</v>
      </c>
      <c r="I17" s="24"/>
      <c r="J17" s="20"/>
      <c r="K17" s="25" t="s">
        <v>326</v>
      </c>
      <c r="L17" s="26"/>
      <c r="M17" s="27" t="str">
        <f>Scheids!$F$11</f>
        <v>Iris Klein Bog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M8</v>
      </c>
      <c r="F19" s="23"/>
      <c r="G19" s="21" t="s">
        <v>326</v>
      </c>
      <c r="H19" s="23" t="str">
        <f>$A$42</f>
        <v>Gabriël M1</v>
      </c>
      <c r="I19" s="24"/>
      <c r="J19" s="20"/>
      <c r="K19" s="25" t="s">
        <v>326</v>
      </c>
      <c r="L19" s="26"/>
      <c r="M19" s="27" t="str">
        <f>Scheids!$D$11</f>
        <v>Ton Haanappel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Rembrandt M1</v>
      </c>
      <c r="F20" s="23"/>
      <c r="G20" s="21" t="s">
        <v>326</v>
      </c>
      <c r="H20" s="23" t="str">
        <f>$A$45</f>
        <v>Maurits M2</v>
      </c>
      <c r="I20" s="24"/>
      <c r="J20" s="20"/>
      <c r="K20" s="25" t="s">
        <v>326</v>
      </c>
      <c r="L20" s="26"/>
      <c r="M20" s="27" t="str">
        <f>Scheids!$D$11</f>
        <v>Ton Haanappel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Freinet M1</v>
      </c>
      <c r="F21" s="23"/>
      <c r="G21" s="21" t="s">
        <v>326</v>
      </c>
      <c r="H21" s="23" t="str">
        <f>$A$47</f>
        <v>Maan M2</v>
      </c>
      <c r="I21" s="24"/>
      <c r="J21" s="20"/>
      <c r="K21" s="25" t="s">
        <v>326</v>
      </c>
      <c r="L21" s="26"/>
      <c r="M21" s="27" t="str">
        <f>Scheids!$D$11</f>
        <v>Ton Haanappel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Freinet M1</v>
      </c>
      <c r="F23" s="23"/>
      <c r="G23" s="21" t="s">
        <v>326</v>
      </c>
      <c r="H23" s="23" t="str">
        <f>$A$43</f>
        <v>Rembrandt M1</v>
      </c>
      <c r="I23" s="24"/>
      <c r="J23" s="20"/>
      <c r="K23" s="25" t="s">
        <v>326</v>
      </c>
      <c r="L23" s="26"/>
      <c r="M23" s="27" t="str">
        <f>Scheids!$F$11</f>
        <v>Iris Klein Bog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Maria M9</v>
      </c>
      <c r="F24" s="23"/>
      <c r="G24" s="21" t="s">
        <v>326</v>
      </c>
      <c r="H24" s="23" t="str">
        <f>$A$44</f>
        <v>Maria M8</v>
      </c>
      <c r="I24" s="24"/>
      <c r="J24" s="20"/>
      <c r="K24" s="25" t="s">
        <v>326</v>
      </c>
      <c r="L24" s="26"/>
      <c r="M24" s="27" t="str">
        <f>Scheids!$F$11</f>
        <v>Iris Klein Bog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Gabriël M1</v>
      </c>
      <c r="F25" s="23"/>
      <c r="G25" s="21" t="s">
        <v>326</v>
      </c>
      <c r="H25" s="23" t="str">
        <f>$A$47</f>
        <v>Maan M2</v>
      </c>
      <c r="I25" s="24"/>
      <c r="J25" s="20"/>
      <c r="K25" s="25" t="s">
        <v>326</v>
      </c>
      <c r="L25" s="26"/>
      <c r="M25" s="27" t="str">
        <f>Scheids!$F$11</f>
        <v>Iris Klein Bog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Rembrandt M1</v>
      </c>
      <c r="F27" s="23"/>
      <c r="G27" s="21" t="s">
        <v>326</v>
      </c>
      <c r="H27" s="23" t="str">
        <f>$A$46</f>
        <v>Maria M9</v>
      </c>
      <c r="I27" s="24"/>
      <c r="J27" s="20"/>
      <c r="K27" s="25" t="s">
        <v>326</v>
      </c>
      <c r="L27" s="26"/>
      <c r="M27" s="27" t="str">
        <f>Scheids!$D$11</f>
        <v>Ton Haanappel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M8</v>
      </c>
      <c r="F29" s="23"/>
      <c r="G29" s="21" t="s">
        <v>326</v>
      </c>
      <c r="H29" s="23" t="str">
        <f>$A$41</f>
        <v>Freinet M1</v>
      </c>
      <c r="I29" s="24"/>
      <c r="J29" s="20"/>
      <c r="K29" s="25" t="s">
        <v>326</v>
      </c>
      <c r="L29" s="26"/>
      <c r="M29" s="27" t="str">
        <f>Scheids!$D$11</f>
        <v>Ton Haanappel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Maan M2</v>
      </c>
      <c r="F30" s="23"/>
      <c r="G30" s="21" t="s">
        <v>326</v>
      </c>
      <c r="H30" s="23" t="str">
        <f>$A$45</f>
        <v>Maurits M2</v>
      </c>
      <c r="I30" s="24"/>
      <c r="J30" s="20"/>
      <c r="K30" s="25" t="s">
        <v>326</v>
      </c>
      <c r="L30" s="26"/>
      <c r="M30" s="27" t="str">
        <f>Scheids!$D$11</f>
        <v>Ton Haanappel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Rembrandt M1</v>
      </c>
      <c r="F32" s="23"/>
      <c r="G32" s="21" t="s">
        <v>326</v>
      </c>
      <c r="H32" s="23" t="str">
        <f>$A$47</f>
        <v>Maan M2</v>
      </c>
      <c r="I32" s="24"/>
      <c r="J32" s="20"/>
      <c r="K32" s="25" t="s">
        <v>326</v>
      </c>
      <c r="L32" s="26"/>
      <c r="M32" s="27" t="str">
        <f>Scheids!$F$11</f>
        <v>Iris Klein Bog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Gabriël M1</v>
      </c>
      <c r="F33" s="23"/>
      <c r="G33" s="21" t="s">
        <v>326</v>
      </c>
      <c r="H33" s="23" t="str">
        <f>$A$46</f>
        <v>Maria M9</v>
      </c>
      <c r="I33" s="24"/>
      <c r="J33" s="20"/>
      <c r="K33" s="25" t="s">
        <v>326</v>
      </c>
      <c r="L33" s="26"/>
      <c r="M33" s="27" t="str">
        <f>Scheids!$F$11</f>
        <v>Iris Klein Bog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Freinet M1</v>
      </c>
      <c r="F34" s="23"/>
      <c r="G34" s="21" t="s">
        <v>326</v>
      </c>
      <c r="H34" s="23" t="str">
        <f>$A$45</f>
        <v>Maurits M2</v>
      </c>
      <c r="I34" s="24"/>
      <c r="J34" s="20"/>
      <c r="K34" s="25" t="s">
        <v>326</v>
      </c>
      <c r="L34" s="26"/>
      <c r="M34" s="27" t="str">
        <f>Scheids!$F$11</f>
        <v>Iris Klein Bog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Maria M9</v>
      </c>
      <c r="F36" s="23"/>
      <c r="G36" s="21" t="s">
        <v>326</v>
      </c>
      <c r="H36" s="23" t="str">
        <f>$A$41</f>
        <v>Freinet M1</v>
      </c>
      <c r="I36" s="24"/>
      <c r="J36" s="20"/>
      <c r="K36" s="25" t="s">
        <v>326</v>
      </c>
      <c r="L36" s="26"/>
      <c r="M36" s="27" t="str">
        <f>Scheids!$D$11</f>
        <v>Ton Haanappel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Maurits M2</v>
      </c>
      <c r="F37" s="23"/>
      <c r="G37" s="21" t="s">
        <v>326</v>
      </c>
      <c r="H37" s="23" t="str">
        <f>$A$42</f>
        <v>Gabriël M1</v>
      </c>
      <c r="I37" s="24"/>
      <c r="J37" s="20"/>
      <c r="K37" s="25" t="s">
        <v>326</v>
      </c>
      <c r="L37" s="26"/>
      <c r="M37" s="27" t="str">
        <f>Scheids!$F$11</f>
        <v>Iris Klein Bog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Maan M2</v>
      </c>
      <c r="F38" s="34"/>
      <c r="G38" s="32" t="s">
        <v>326</v>
      </c>
      <c r="H38" s="34" t="str">
        <f>$A$44</f>
        <v>Maria M8</v>
      </c>
      <c r="I38" s="35"/>
      <c r="J38" s="31"/>
      <c r="K38" s="36" t="s">
        <v>326</v>
      </c>
      <c r="L38" s="37"/>
      <c r="M38" s="121" t="str">
        <f>Scheids!$F$11</f>
        <v>Iris Klein Bog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Scholen!$L$10</f>
        <v>Freinet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Scholen!$L$11</f>
        <v>Gabriël M1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Scholen!$L$12</f>
        <v>Rembrandt M1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Scholen!$L$13</f>
        <v>Maria M8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Scholen!$L$14</f>
        <v>Maurits M2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Scholen!$L$15</f>
        <v>Maria M9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5" ht="18.75" customHeight="1" x14ac:dyDescent="0.25">
      <c r="A47" s="138" t="str">
        <f>IF(Scholen!$L$16&lt;&gt;"",Scholen!$L$16,"")</f>
        <v>Maan M2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IF(Scholen!$L$17&lt;&gt;"",Scholen!$L$17,"")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>
        <f t="shared" si="1"/>
        <v>3</v>
      </c>
      <c r="Y48" s="2">
        <v>3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9"/>
  <dimension ref="A1:Y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Scholen!$N$8</f>
        <v>Gemengd</v>
      </c>
      <c r="F8" s="175"/>
      <c r="G8" s="175"/>
      <c r="H8" s="176" t="s">
        <v>1</v>
      </c>
      <c r="I8" s="177" t="s">
        <v>8</v>
      </c>
      <c r="J8" s="175" t="s">
        <v>11</v>
      </c>
      <c r="K8" s="228">
        <f>Scholen!$O$7</f>
        <v>7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Horizon G1</v>
      </c>
      <c r="F11" s="91"/>
      <c r="G11" s="89" t="s">
        <v>326</v>
      </c>
      <c r="H11" s="91" t="str">
        <f>$A$42</f>
        <v>Max G1</v>
      </c>
      <c r="I11" s="15"/>
      <c r="J11" s="14"/>
      <c r="K11" s="92" t="s">
        <v>326</v>
      </c>
      <c r="L11" s="16"/>
      <c r="M11" s="17" t="str">
        <f>Scheids!$D$12</f>
        <v xml:space="preserve">Cock Smink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Galjoen G1</v>
      </c>
      <c r="F12" s="23"/>
      <c r="G12" s="21" t="s">
        <v>326</v>
      </c>
      <c r="H12" s="23" t="str">
        <f>$A$44</f>
        <v>Talent G1</v>
      </c>
      <c r="I12" s="24"/>
      <c r="J12" s="20"/>
      <c r="K12" s="25" t="s">
        <v>326</v>
      </c>
      <c r="L12" s="26"/>
      <c r="M12" s="27" t="str">
        <f>Scheids!$D$12</f>
        <v xml:space="preserve">Cock Smink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Schatkaart G1</v>
      </c>
      <c r="F13" s="23"/>
      <c r="G13" s="21" t="s">
        <v>326</v>
      </c>
      <c r="H13" s="23" t="str">
        <f>$A$46</f>
        <v>M Delft G1</v>
      </c>
      <c r="I13" s="24"/>
      <c r="J13" s="20"/>
      <c r="K13" s="25" t="s">
        <v>326</v>
      </c>
      <c r="L13" s="26"/>
      <c r="M13" s="27" t="str">
        <f>Scheids!$D$12</f>
        <v xml:space="preserve">Cock Smink 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Max G1</v>
      </c>
      <c r="F15" s="23"/>
      <c r="G15" s="21" t="s">
        <v>326</v>
      </c>
      <c r="H15" s="23" t="str">
        <f>$A$43</f>
        <v>Galjoen G1</v>
      </c>
      <c r="I15" s="24"/>
      <c r="J15" s="20"/>
      <c r="K15" s="25" t="s">
        <v>326</v>
      </c>
      <c r="L15" s="26"/>
      <c r="M15" s="27" t="str">
        <f>Scheids!$F$12</f>
        <v>Gerard Zoet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Talent G1</v>
      </c>
      <c r="F16" s="23"/>
      <c r="G16" s="21" t="s">
        <v>326</v>
      </c>
      <c r="H16" s="23" t="str">
        <f>$A$45</f>
        <v>Schatkaart G1</v>
      </c>
      <c r="I16" s="24"/>
      <c r="J16" s="20"/>
      <c r="K16" s="25" t="s">
        <v>326</v>
      </c>
      <c r="L16" s="26"/>
      <c r="M16" s="27" t="str">
        <f>Scheids!$F$12</f>
        <v>Gerard Zoet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 Delft G1</v>
      </c>
      <c r="F17" s="23"/>
      <c r="G17" s="21" t="s">
        <v>326</v>
      </c>
      <c r="H17" s="23" t="str">
        <f>$A$47</f>
        <v>Maria G1</v>
      </c>
      <c r="I17" s="24"/>
      <c r="J17" s="20"/>
      <c r="K17" s="25" t="s">
        <v>326</v>
      </c>
      <c r="L17" s="26"/>
      <c r="M17" s="27" t="str">
        <f>Scheids!$F$12</f>
        <v>Gerard Zoet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Talent G1</v>
      </c>
      <c r="F19" s="23"/>
      <c r="G19" s="21" t="s">
        <v>326</v>
      </c>
      <c r="H19" s="23" t="str">
        <f>$A$42</f>
        <v>Max G1</v>
      </c>
      <c r="I19" s="24"/>
      <c r="J19" s="20"/>
      <c r="K19" s="25" t="s">
        <v>326</v>
      </c>
      <c r="L19" s="26"/>
      <c r="M19" s="27" t="str">
        <f>Scheids!$D$12</f>
        <v xml:space="preserve">Cock Smink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Galjoen G1</v>
      </c>
      <c r="F20" s="23"/>
      <c r="G20" s="21" t="s">
        <v>326</v>
      </c>
      <c r="H20" s="23" t="str">
        <f>$A$45</f>
        <v>Schatkaart G1</v>
      </c>
      <c r="I20" s="24"/>
      <c r="J20" s="20"/>
      <c r="K20" s="25" t="s">
        <v>326</v>
      </c>
      <c r="L20" s="26"/>
      <c r="M20" s="27" t="str">
        <f>Scheids!$D$12</f>
        <v xml:space="preserve">Cock Smink 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Horizon G1</v>
      </c>
      <c r="F21" s="23"/>
      <c r="G21" s="21" t="s">
        <v>326</v>
      </c>
      <c r="H21" s="23" t="str">
        <f>$A$47</f>
        <v>Maria G1</v>
      </c>
      <c r="I21" s="24"/>
      <c r="J21" s="20"/>
      <c r="K21" s="25" t="s">
        <v>326</v>
      </c>
      <c r="L21" s="26"/>
      <c r="M21" s="27" t="str">
        <f>Scheids!$D$12</f>
        <v xml:space="preserve">Cock Smink 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Horizon G1</v>
      </c>
      <c r="F23" s="23"/>
      <c r="G23" s="21" t="s">
        <v>326</v>
      </c>
      <c r="H23" s="23" t="str">
        <f>$A$43</f>
        <v>Galjoen G1</v>
      </c>
      <c r="I23" s="24"/>
      <c r="J23" s="20"/>
      <c r="K23" s="25" t="s">
        <v>326</v>
      </c>
      <c r="L23" s="26"/>
      <c r="M23" s="27" t="str">
        <f>Scheids!$F$12</f>
        <v>Gerard Zoet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 Delft G1</v>
      </c>
      <c r="F24" s="23"/>
      <c r="G24" s="21" t="s">
        <v>326</v>
      </c>
      <c r="H24" s="23" t="str">
        <f>$A$44</f>
        <v>Talent G1</v>
      </c>
      <c r="I24" s="24"/>
      <c r="J24" s="20"/>
      <c r="K24" s="25" t="s">
        <v>326</v>
      </c>
      <c r="L24" s="26"/>
      <c r="M24" s="27" t="str">
        <f>Scheids!$F$12</f>
        <v>Gerard Zoet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Max G1</v>
      </c>
      <c r="F25" s="23"/>
      <c r="G25" s="21" t="s">
        <v>326</v>
      </c>
      <c r="H25" s="23" t="str">
        <f>$A$47</f>
        <v>Maria G1</v>
      </c>
      <c r="I25" s="24"/>
      <c r="J25" s="20"/>
      <c r="K25" s="25" t="s">
        <v>326</v>
      </c>
      <c r="L25" s="26"/>
      <c r="M25" s="27" t="str">
        <f>Scheids!$F$12</f>
        <v>Gerard Zoet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Galjoen G1</v>
      </c>
      <c r="F27" s="23"/>
      <c r="G27" s="21" t="s">
        <v>326</v>
      </c>
      <c r="H27" s="23" t="str">
        <f>$A$46</f>
        <v>M Delft G1</v>
      </c>
      <c r="I27" s="24"/>
      <c r="J27" s="20"/>
      <c r="K27" s="25" t="s">
        <v>326</v>
      </c>
      <c r="L27" s="26"/>
      <c r="M27" s="27" t="str">
        <f>Scheids!$D$12</f>
        <v xml:space="preserve">Cock Smink 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Talent G1</v>
      </c>
      <c r="F29" s="23"/>
      <c r="G29" s="21" t="s">
        <v>326</v>
      </c>
      <c r="H29" s="23" t="str">
        <f>$A$41</f>
        <v>Horizon G1</v>
      </c>
      <c r="I29" s="24"/>
      <c r="J29" s="20"/>
      <c r="K29" s="25" t="s">
        <v>326</v>
      </c>
      <c r="L29" s="26"/>
      <c r="M29" s="27" t="str">
        <f>Scheids!$D$12</f>
        <v xml:space="preserve">Cock Smink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Maria G1</v>
      </c>
      <c r="F30" s="23"/>
      <c r="G30" s="21" t="s">
        <v>326</v>
      </c>
      <c r="H30" s="23" t="str">
        <f>$A$45</f>
        <v>Schatkaart G1</v>
      </c>
      <c r="I30" s="24"/>
      <c r="J30" s="20"/>
      <c r="K30" s="25" t="s">
        <v>326</v>
      </c>
      <c r="L30" s="26"/>
      <c r="M30" s="27" t="str">
        <f>Scheids!$D$12</f>
        <v xml:space="preserve">Cock Smink 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Galjoen G1</v>
      </c>
      <c r="F32" s="23"/>
      <c r="G32" s="21" t="s">
        <v>326</v>
      </c>
      <c r="H32" s="23" t="str">
        <f>$A$47</f>
        <v>Maria G1</v>
      </c>
      <c r="I32" s="24"/>
      <c r="J32" s="20"/>
      <c r="K32" s="25" t="s">
        <v>326</v>
      </c>
      <c r="L32" s="26"/>
      <c r="M32" s="27" t="str">
        <f>Scheids!$F$12</f>
        <v>Gerard Zoet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Max G1</v>
      </c>
      <c r="F33" s="23"/>
      <c r="G33" s="21" t="s">
        <v>326</v>
      </c>
      <c r="H33" s="23" t="str">
        <f>$A$46</f>
        <v>M Delft G1</v>
      </c>
      <c r="I33" s="24"/>
      <c r="J33" s="20"/>
      <c r="K33" s="25" t="s">
        <v>326</v>
      </c>
      <c r="L33" s="26"/>
      <c r="M33" s="27" t="str">
        <f>Scheids!$F$12</f>
        <v>Gerard Zoet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Horizon G1</v>
      </c>
      <c r="F34" s="23"/>
      <c r="G34" s="21" t="s">
        <v>326</v>
      </c>
      <c r="H34" s="23" t="str">
        <f>$A$45</f>
        <v>Schatkaart G1</v>
      </c>
      <c r="I34" s="24"/>
      <c r="J34" s="20"/>
      <c r="K34" s="25" t="s">
        <v>326</v>
      </c>
      <c r="L34" s="26"/>
      <c r="M34" s="27" t="str">
        <f>Scheids!$F$12</f>
        <v>Gerard Zoet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 Delft G1</v>
      </c>
      <c r="F36" s="23"/>
      <c r="G36" s="21" t="s">
        <v>326</v>
      </c>
      <c r="H36" s="23" t="str">
        <f>$A$41</f>
        <v>Horizon G1</v>
      </c>
      <c r="I36" s="24"/>
      <c r="J36" s="20"/>
      <c r="K36" s="25" t="s">
        <v>326</v>
      </c>
      <c r="L36" s="26"/>
      <c r="M36" s="27" t="str">
        <f>Scheids!$D$12</f>
        <v xml:space="preserve">Cock Smink 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Schatkaart G1</v>
      </c>
      <c r="F37" s="23"/>
      <c r="G37" s="21" t="s">
        <v>326</v>
      </c>
      <c r="H37" s="23" t="str">
        <f>$A$42</f>
        <v>Max G1</v>
      </c>
      <c r="I37" s="24"/>
      <c r="J37" s="20"/>
      <c r="K37" s="25" t="s">
        <v>326</v>
      </c>
      <c r="L37" s="26"/>
      <c r="M37" s="27" t="str">
        <f>Scheids!$F$12</f>
        <v>Gerard Zoet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Maria G1</v>
      </c>
      <c r="F38" s="34"/>
      <c r="G38" s="32" t="s">
        <v>326</v>
      </c>
      <c r="H38" s="34" t="str">
        <f>$A$44</f>
        <v>Talent G1</v>
      </c>
      <c r="I38" s="35"/>
      <c r="J38" s="31"/>
      <c r="K38" s="36" t="s">
        <v>326</v>
      </c>
      <c r="L38" s="37"/>
      <c r="M38" s="121" t="str">
        <f>Scheids!$F$12</f>
        <v>Gerard Zoet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Scholen!$N$10</f>
        <v>Horizon G1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Scholen!$N$11</f>
        <v>Max G1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Scholen!$N$12</f>
        <v>Galjoen G1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Scholen!$N$13</f>
        <v>Talent G1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Scholen!$N$14</f>
        <v>Schatkaart G1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Scholen!$N$15</f>
        <v>M Delft G1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5" ht="18.75" customHeight="1" x14ac:dyDescent="0.25">
      <c r="A47" s="138" t="str">
        <f>IF(Scholen!$N$16&lt;&gt;"",Scholen!$N$16,"")</f>
        <v>Maria G1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>
        <f t="shared" si="1"/>
        <v>3</v>
      </c>
      <c r="Y47" s="2">
        <v>3</v>
      </c>
    </row>
    <row r="48" spans="1:25" ht="18.75" customHeight="1" x14ac:dyDescent="0.25">
      <c r="A48" s="138" t="str">
        <f>IF(Scholen!$N$17&lt;&gt;"",Scholen!$N$17,"")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10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Scholen!$P$8</f>
        <v>Gemengd</v>
      </c>
      <c r="F8" s="175"/>
      <c r="G8" s="175"/>
      <c r="H8" s="176" t="s">
        <v>1</v>
      </c>
      <c r="I8" s="177" t="s">
        <v>9</v>
      </c>
      <c r="J8" s="175" t="s">
        <v>11</v>
      </c>
      <c r="K8" s="228">
        <f>Scholen!$Q$7</f>
        <v>8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Maria M1</v>
      </c>
      <c r="F11" s="91"/>
      <c r="G11" s="89" t="s">
        <v>326</v>
      </c>
      <c r="H11" s="91" t="str">
        <f>$A$42</f>
        <v>Mozaïek G1</v>
      </c>
      <c r="I11" s="15"/>
      <c r="J11" s="14"/>
      <c r="K11" s="92" t="s">
        <v>326</v>
      </c>
      <c r="L11" s="16"/>
      <c r="M11" s="17" t="str">
        <f>Scheids!$D$13</f>
        <v>Bas Kers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Gabriël G1</v>
      </c>
      <c r="F12" s="23"/>
      <c r="G12" s="21" t="s">
        <v>326</v>
      </c>
      <c r="H12" s="23" t="str">
        <f>$A$44</f>
        <v>Max G2</v>
      </c>
      <c r="I12" s="24"/>
      <c r="J12" s="20"/>
      <c r="K12" s="25" t="s">
        <v>326</v>
      </c>
      <c r="L12" s="26"/>
      <c r="M12" s="27" t="str">
        <f>Scheids!$D$13</f>
        <v>Bas Kers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Horizon G2</v>
      </c>
      <c r="F13" s="23"/>
      <c r="G13" s="21" t="s">
        <v>326</v>
      </c>
      <c r="H13" s="23" t="str">
        <f>$A$46</f>
        <v>Galjoen G2</v>
      </c>
      <c r="I13" s="24"/>
      <c r="J13" s="20"/>
      <c r="K13" s="25" t="s">
        <v>326</v>
      </c>
      <c r="L13" s="26"/>
      <c r="M13" s="27" t="str">
        <f>Scheids!$D$13</f>
        <v>Bas Kers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Mozaïek G1</v>
      </c>
      <c r="F15" s="23"/>
      <c r="G15" s="21" t="s">
        <v>326</v>
      </c>
      <c r="H15" s="23" t="str">
        <f>$A$43</f>
        <v>Gabriël G1</v>
      </c>
      <c r="I15" s="24"/>
      <c r="J15" s="20"/>
      <c r="K15" s="25" t="s">
        <v>326</v>
      </c>
      <c r="L15" s="26"/>
      <c r="M15" s="27" t="str">
        <f>Scheids!$F$13</f>
        <v>Joyce Hupkes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Max G2</v>
      </c>
      <c r="F16" s="23"/>
      <c r="G16" s="21" t="s">
        <v>326</v>
      </c>
      <c r="H16" s="23" t="str">
        <f>$A$45</f>
        <v>Horizon G2</v>
      </c>
      <c r="I16" s="24"/>
      <c r="J16" s="20"/>
      <c r="K16" s="25" t="s">
        <v>326</v>
      </c>
      <c r="L16" s="26"/>
      <c r="M16" s="27" t="str">
        <f>Scheids!$F$13</f>
        <v>Joyce Hupkes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Galjoen G2</v>
      </c>
      <c r="F17" s="23"/>
      <c r="G17" s="21" t="s">
        <v>326</v>
      </c>
      <c r="H17" s="23" t="str">
        <f>$A$47</f>
        <v>Freinet G1</v>
      </c>
      <c r="I17" s="24"/>
      <c r="J17" s="20"/>
      <c r="K17" s="25" t="s">
        <v>326</v>
      </c>
      <c r="L17" s="26"/>
      <c r="M17" s="27" t="str">
        <f>Scheids!$F$13</f>
        <v>Joyce Hupkes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Max G2</v>
      </c>
      <c r="F19" s="23"/>
      <c r="G19" s="21" t="s">
        <v>326</v>
      </c>
      <c r="H19" s="23" t="str">
        <f>$A$42</f>
        <v>Mozaïek G1</v>
      </c>
      <c r="I19" s="24"/>
      <c r="J19" s="20"/>
      <c r="K19" s="25" t="s">
        <v>326</v>
      </c>
      <c r="L19" s="26"/>
      <c r="M19" s="27" t="str">
        <f>Scheids!$D$13</f>
        <v>Bas Kers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Gabriël G1</v>
      </c>
      <c r="F20" s="23"/>
      <c r="G20" s="21" t="s">
        <v>326</v>
      </c>
      <c r="H20" s="23" t="str">
        <f>$A$45</f>
        <v>Horizon G2</v>
      </c>
      <c r="I20" s="24"/>
      <c r="J20" s="20"/>
      <c r="K20" s="25" t="s">
        <v>326</v>
      </c>
      <c r="L20" s="26"/>
      <c r="M20" s="27" t="str">
        <f>Scheids!$D$13</f>
        <v>Bas Kers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Maria M1</v>
      </c>
      <c r="F21" s="23"/>
      <c r="G21" s="21" t="s">
        <v>326</v>
      </c>
      <c r="H21" s="23" t="str">
        <f>$A$47</f>
        <v>Freinet G1</v>
      </c>
      <c r="I21" s="24"/>
      <c r="J21" s="20"/>
      <c r="K21" s="25" t="s">
        <v>326</v>
      </c>
      <c r="L21" s="26"/>
      <c r="M21" s="27" t="str">
        <f>Scheids!$D$13</f>
        <v>Bas Kers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Maria M1</v>
      </c>
      <c r="F23" s="23"/>
      <c r="G23" s="21" t="s">
        <v>326</v>
      </c>
      <c r="H23" s="23" t="str">
        <f>$A$43</f>
        <v>Gabriël G1</v>
      </c>
      <c r="I23" s="24"/>
      <c r="J23" s="20"/>
      <c r="K23" s="25" t="s">
        <v>326</v>
      </c>
      <c r="L23" s="26"/>
      <c r="M23" s="27" t="str">
        <f>Scheids!$F$13</f>
        <v>Joyce Hupkes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Galjoen G2</v>
      </c>
      <c r="F24" s="23"/>
      <c r="G24" s="21" t="s">
        <v>326</v>
      </c>
      <c r="H24" s="23" t="str">
        <f>$A$44</f>
        <v>Max G2</v>
      </c>
      <c r="I24" s="24"/>
      <c r="J24" s="20"/>
      <c r="K24" s="25" t="s">
        <v>326</v>
      </c>
      <c r="L24" s="26"/>
      <c r="M24" s="27" t="str">
        <f>Scheids!$F$13</f>
        <v>Joyce Hupkes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Mozaïek G1</v>
      </c>
      <c r="F25" s="23"/>
      <c r="G25" s="21" t="s">
        <v>326</v>
      </c>
      <c r="H25" s="23" t="str">
        <f>$A$47</f>
        <v>Freinet G1</v>
      </c>
      <c r="I25" s="24"/>
      <c r="J25" s="20"/>
      <c r="K25" s="25" t="s">
        <v>326</v>
      </c>
      <c r="L25" s="26"/>
      <c r="M25" s="27" t="str">
        <f>Scheids!$F$13</f>
        <v>Joyce Hupkes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Gabriël G1</v>
      </c>
      <c r="F27" s="23"/>
      <c r="G27" s="21" t="s">
        <v>326</v>
      </c>
      <c r="H27" s="23" t="str">
        <f>$A$46</f>
        <v>Galjoen G2</v>
      </c>
      <c r="I27" s="24"/>
      <c r="J27" s="20"/>
      <c r="K27" s="25" t="s">
        <v>326</v>
      </c>
      <c r="L27" s="26"/>
      <c r="M27" s="27" t="str">
        <f>Scheids!$D$13</f>
        <v>Bas Kers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Max G2</v>
      </c>
      <c r="F29" s="23"/>
      <c r="G29" s="21" t="s">
        <v>326</v>
      </c>
      <c r="H29" s="23" t="str">
        <f>$A$41</f>
        <v>Maria M1</v>
      </c>
      <c r="I29" s="24"/>
      <c r="J29" s="20"/>
      <c r="K29" s="25" t="s">
        <v>326</v>
      </c>
      <c r="L29" s="26"/>
      <c r="M29" s="27" t="str">
        <f>Scheids!$D$13</f>
        <v>Bas Kers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Freinet G1</v>
      </c>
      <c r="F30" s="23"/>
      <c r="G30" s="21" t="s">
        <v>326</v>
      </c>
      <c r="H30" s="23" t="str">
        <f>$A$45</f>
        <v>Horizon G2</v>
      </c>
      <c r="I30" s="24"/>
      <c r="J30" s="20"/>
      <c r="K30" s="25" t="s">
        <v>326</v>
      </c>
      <c r="L30" s="26"/>
      <c r="M30" s="27" t="str">
        <f>Scheids!$D$13</f>
        <v>Bas Kers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Gabriël G1</v>
      </c>
      <c r="F32" s="23"/>
      <c r="G32" s="21" t="s">
        <v>326</v>
      </c>
      <c r="H32" s="23" t="str">
        <f>$A$47</f>
        <v>Freinet G1</v>
      </c>
      <c r="I32" s="24"/>
      <c r="J32" s="20"/>
      <c r="K32" s="25" t="s">
        <v>326</v>
      </c>
      <c r="L32" s="26"/>
      <c r="M32" s="27" t="str">
        <f>Scheids!$F$13</f>
        <v>Joyce Hupkes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Mozaïek G1</v>
      </c>
      <c r="F33" s="23"/>
      <c r="G33" s="21" t="s">
        <v>326</v>
      </c>
      <c r="H33" s="23" t="str">
        <f>$A$46</f>
        <v>Galjoen G2</v>
      </c>
      <c r="I33" s="24"/>
      <c r="J33" s="20"/>
      <c r="K33" s="25" t="s">
        <v>326</v>
      </c>
      <c r="L33" s="26"/>
      <c r="M33" s="27" t="str">
        <f>Scheids!$F$13</f>
        <v>Joyce Hupkes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Maria M1</v>
      </c>
      <c r="F34" s="23"/>
      <c r="G34" s="21" t="s">
        <v>326</v>
      </c>
      <c r="H34" s="23" t="str">
        <f>$A$45</f>
        <v>Horizon G2</v>
      </c>
      <c r="I34" s="24"/>
      <c r="J34" s="20"/>
      <c r="K34" s="25" t="s">
        <v>326</v>
      </c>
      <c r="L34" s="26"/>
      <c r="M34" s="27" t="str">
        <f>Scheids!$F$13</f>
        <v>Joyce Hupkes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Galjoen G2</v>
      </c>
      <c r="F36" s="23"/>
      <c r="G36" s="21" t="s">
        <v>326</v>
      </c>
      <c r="H36" s="23" t="str">
        <f>$A$41</f>
        <v>Maria M1</v>
      </c>
      <c r="I36" s="24"/>
      <c r="J36" s="20"/>
      <c r="K36" s="25" t="s">
        <v>326</v>
      </c>
      <c r="L36" s="26"/>
      <c r="M36" s="27" t="str">
        <f>Scheids!$D$13</f>
        <v>Bas Kers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Horizon G2</v>
      </c>
      <c r="F37" s="23"/>
      <c r="G37" s="21" t="s">
        <v>326</v>
      </c>
      <c r="H37" s="23" t="str">
        <f>$A$42</f>
        <v>Mozaïek G1</v>
      </c>
      <c r="I37" s="24"/>
      <c r="J37" s="20"/>
      <c r="K37" s="25" t="s">
        <v>326</v>
      </c>
      <c r="L37" s="26"/>
      <c r="M37" s="27" t="str">
        <f>Scheids!$F$13</f>
        <v>Joyce Hupkes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Freinet G1</v>
      </c>
      <c r="F38" s="34"/>
      <c r="G38" s="32" t="s">
        <v>326</v>
      </c>
      <c r="H38" s="34" t="str">
        <f>$A$44</f>
        <v>Max G2</v>
      </c>
      <c r="I38" s="35"/>
      <c r="J38" s="31"/>
      <c r="K38" s="36" t="s">
        <v>326</v>
      </c>
      <c r="L38" s="37"/>
      <c r="M38" s="121" t="str">
        <f>Scheids!$F$13</f>
        <v>Joyce Hupkes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Scholen!$P$10</f>
        <v>Maria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Scholen!$P$11</f>
        <v>Mozaïek G1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Scholen!$P$12</f>
        <v>Gabriël G1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Scholen!$P$13</f>
        <v>Max G2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Scholen!$P$14</f>
        <v>Horizon G2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Scholen!$P$15</f>
        <v>Galjoen G2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IF(Scholen!$P$16&lt;&gt;"",Scholen!$P$16,"")</f>
        <v>Freinet G1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IF(Scholen!$P$17&lt;&gt;"",Scholen!$P$17,"")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11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Scholen!$R$8</f>
        <v>Jongens</v>
      </c>
      <c r="F8" s="175"/>
      <c r="G8" s="175"/>
      <c r="H8" s="176" t="s">
        <v>1</v>
      </c>
      <c r="I8" s="177" t="s">
        <v>10</v>
      </c>
      <c r="J8" s="175" t="s">
        <v>11</v>
      </c>
      <c r="K8" s="228">
        <f>Scholen!$S$7</f>
        <v>9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Maria J1</v>
      </c>
      <c r="F11" s="91"/>
      <c r="G11" s="89" t="s">
        <v>326</v>
      </c>
      <c r="H11" s="91" t="str">
        <f>$A$42</f>
        <v>Springwijs J1</v>
      </c>
      <c r="I11" s="15"/>
      <c r="J11" s="14"/>
      <c r="K11" s="92" t="s">
        <v>326</v>
      </c>
      <c r="L11" s="16"/>
      <c r="M11" s="17" t="str">
        <f>Scheids!$D$14</f>
        <v>Ruud Bakas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Galjoen J1</v>
      </c>
      <c r="F12" s="23"/>
      <c r="G12" s="21" t="s">
        <v>326</v>
      </c>
      <c r="H12" s="23" t="str">
        <f>$A$44</f>
        <v>Gabriël J1</v>
      </c>
      <c r="I12" s="24"/>
      <c r="J12" s="20"/>
      <c r="K12" s="25" t="s">
        <v>326</v>
      </c>
      <c r="L12" s="26"/>
      <c r="M12" s="27" t="str">
        <f>Scheids!$D$14</f>
        <v>Ruud Bakas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Talent J1</v>
      </c>
      <c r="F13" s="23"/>
      <c r="G13" s="21" t="s">
        <v>326</v>
      </c>
      <c r="H13" s="23" t="str">
        <f>$A$46</f>
        <v>Horizon J1</v>
      </c>
      <c r="I13" s="24"/>
      <c r="J13" s="20"/>
      <c r="K13" s="25" t="s">
        <v>326</v>
      </c>
      <c r="L13" s="26"/>
      <c r="M13" s="27" t="str">
        <f>Scheids!$D$14</f>
        <v>Ruud Bakas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 t="s">
        <v>326</v>
      </c>
      <c r="D14" s="132">
        <v>0.58124999999999993</v>
      </c>
      <c r="E14" s="133" t="str">
        <f>$A$47</f>
        <v>Widar J1</v>
      </c>
      <c r="F14" s="23"/>
      <c r="G14" s="21" t="s">
        <v>326</v>
      </c>
      <c r="H14" s="23" t="str">
        <f>$A$48</f>
        <v>Waterhof J1</v>
      </c>
      <c r="I14" s="24"/>
      <c r="J14" s="20"/>
      <c r="K14" s="25" t="s">
        <v>326</v>
      </c>
      <c r="L14" s="26"/>
      <c r="M14" s="27" t="str">
        <f>Scheids!$F$14</f>
        <v>Till Sander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Springwijs J1</v>
      </c>
      <c r="F15" s="23"/>
      <c r="G15" s="21" t="s">
        <v>326</v>
      </c>
      <c r="H15" s="23" t="str">
        <f>$A$43</f>
        <v>Galjoen J1</v>
      </c>
      <c r="I15" s="24"/>
      <c r="J15" s="20"/>
      <c r="K15" s="25" t="s">
        <v>326</v>
      </c>
      <c r="L15" s="26"/>
      <c r="M15" s="27" t="str">
        <f>Scheids!$F$14</f>
        <v>Till Sander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Gabriël J1</v>
      </c>
      <c r="F16" s="23"/>
      <c r="G16" s="21" t="s">
        <v>326</v>
      </c>
      <c r="H16" s="23" t="str">
        <f>$A$45</f>
        <v>Talent J1</v>
      </c>
      <c r="I16" s="24"/>
      <c r="J16" s="20"/>
      <c r="K16" s="25" t="s">
        <v>326</v>
      </c>
      <c r="L16" s="26"/>
      <c r="M16" s="27" t="str">
        <f>Scheids!$F$14</f>
        <v>Till Sander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Horizon J1</v>
      </c>
      <c r="F17" s="23"/>
      <c r="G17" s="21" t="s">
        <v>326</v>
      </c>
      <c r="H17" s="23" t="str">
        <f>$A$47</f>
        <v>Widar J1</v>
      </c>
      <c r="I17" s="24"/>
      <c r="J17" s="20"/>
      <c r="K17" s="25" t="s">
        <v>326</v>
      </c>
      <c r="L17" s="26"/>
      <c r="M17" s="27" t="str">
        <f>Scheids!$D$14</f>
        <v>Ruud Bakas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 t="s">
        <v>326</v>
      </c>
      <c r="D18" s="132">
        <v>0.60069444444444442</v>
      </c>
      <c r="E18" s="23" t="str">
        <f>$A$48</f>
        <v>Waterhof J1</v>
      </c>
      <c r="F18" s="23"/>
      <c r="G18" s="21" t="s">
        <v>326</v>
      </c>
      <c r="H18" s="23" t="str">
        <f>$A$41</f>
        <v>Maria J1</v>
      </c>
      <c r="I18" s="24"/>
      <c r="J18" s="20"/>
      <c r="K18" s="25" t="s">
        <v>326</v>
      </c>
      <c r="L18" s="26"/>
      <c r="M18" s="27" t="str">
        <f>Scheids!$D$14</f>
        <v>Ruud Bakas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Gabriël J1</v>
      </c>
      <c r="F19" s="23"/>
      <c r="G19" s="21" t="s">
        <v>326</v>
      </c>
      <c r="H19" s="23" t="str">
        <f>$A$42</f>
        <v>Springwijs J1</v>
      </c>
      <c r="I19" s="24"/>
      <c r="J19" s="20"/>
      <c r="K19" s="25" t="s">
        <v>326</v>
      </c>
      <c r="L19" s="26"/>
      <c r="M19" s="27" t="str">
        <f>Scheids!$D$14</f>
        <v>Ruud Bakas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Galjoen J1</v>
      </c>
      <c r="F20" s="23"/>
      <c r="G20" s="21" t="s">
        <v>326</v>
      </c>
      <c r="H20" s="23" t="str">
        <f>$A$45</f>
        <v>Talent J1</v>
      </c>
      <c r="I20" s="24"/>
      <c r="J20" s="20"/>
      <c r="K20" s="25" t="s">
        <v>326</v>
      </c>
      <c r="L20" s="26"/>
      <c r="M20" s="27" t="str">
        <f>Scheids!$F$14</f>
        <v>Till Sander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Maria J1</v>
      </c>
      <c r="F21" s="23"/>
      <c r="G21" s="21" t="s">
        <v>326</v>
      </c>
      <c r="H21" s="23" t="str">
        <f>$A$47</f>
        <v>Widar J1</v>
      </c>
      <c r="I21" s="24"/>
      <c r="J21" s="20"/>
      <c r="K21" s="25" t="s">
        <v>326</v>
      </c>
      <c r="L21" s="26"/>
      <c r="M21" s="27" t="str">
        <f>Scheids!$F$14</f>
        <v>Till Sander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 t="s">
        <v>326</v>
      </c>
      <c r="D22" s="132">
        <v>0.62013888888888891</v>
      </c>
      <c r="E22" s="23" t="str">
        <f>$A$46</f>
        <v>Horizon J1</v>
      </c>
      <c r="F22" s="23"/>
      <c r="G22" s="21" t="s">
        <v>326</v>
      </c>
      <c r="H22" s="23" t="str">
        <f>$A$48</f>
        <v>Waterhof J1</v>
      </c>
      <c r="I22" s="24"/>
      <c r="J22" s="20"/>
      <c r="K22" s="25" t="s">
        <v>326</v>
      </c>
      <c r="L22" s="26"/>
      <c r="M22" s="27" t="str">
        <f>Scheids!$F$14</f>
        <v>Till Sander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Maria J1</v>
      </c>
      <c r="F23" s="23"/>
      <c r="G23" s="21" t="s">
        <v>326</v>
      </c>
      <c r="H23" s="23" t="str">
        <f>$A$43</f>
        <v>Galjoen J1</v>
      </c>
      <c r="I23" s="24"/>
      <c r="J23" s="20"/>
      <c r="K23" s="25" t="s">
        <v>326</v>
      </c>
      <c r="L23" s="26"/>
      <c r="M23" s="27" t="str">
        <f>Scheids!$D$14</f>
        <v>Ruud Bakas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Horizon J1</v>
      </c>
      <c r="F24" s="23"/>
      <c r="G24" s="21" t="s">
        <v>326</v>
      </c>
      <c r="H24" s="23" t="str">
        <f>$A$44</f>
        <v>Gabriël J1</v>
      </c>
      <c r="I24" s="24"/>
      <c r="J24" s="20"/>
      <c r="K24" s="25" t="s">
        <v>326</v>
      </c>
      <c r="L24" s="26"/>
      <c r="M24" s="27" t="str">
        <f>Scheids!$D$14</f>
        <v>Ruud Bakas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Springwijs J1</v>
      </c>
      <c r="F25" s="23"/>
      <c r="G25" s="21" t="s">
        <v>326</v>
      </c>
      <c r="H25" s="23" t="str">
        <f>$A$47</f>
        <v>Widar J1</v>
      </c>
      <c r="I25" s="24"/>
      <c r="J25" s="20"/>
      <c r="K25" s="25" t="s">
        <v>326</v>
      </c>
      <c r="L25" s="26"/>
      <c r="M25" s="27" t="str">
        <f>Scheids!$D$14</f>
        <v>Ruud Bakas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 t="s">
        <v>326</v>
      </c>
      <c r="D26" s="132">
        <v>0.63958333333333328</v>
      </c>
      <c r="E26" s="133" t="str">
        <f>$A$45</f>
        <v>Talent J1</v>
      </c>
      <c r="F26" s="23"/>
      <c r="G26" s="21" t="s">
        <v>326</v>
      </c>
      <c r="H26" s="23" t="str">
        <f>$A$48</f>
        <v>Waterhof J1</v>
      </c>
      <c r="I26" s="24"/>
      <c r="J26" s="20"/>
      <c r="K26" s="25" t="s">
        <v>326</v>
      </c>
      <c r="L26" s="26"/>
      <c r="M26" s="27" t="str">
        <f>Scheids!$F$14</f>
        <v>Till Sander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Galjoen J1</v>
      </c>
      <c r="F27" s="23"/>
      <c r="G27" s="21" t="s">
        <v>326</v>
      </c>
      <c r="H27" s="23" t="str">
        <f>$A$46</f>
        <v>Horizon J1</v>
      </c>
      <c r="I27" s="24"/>
      <c r="J27" s="20"/>
      <c r="K27" s="25" t="s">
        <v>326</v>
      </c>
      <c r="L27" s="26"/>
      <c r="M27" s="27" t="str">
        <f>Scheids!$F$14</f>
        <v>Till Sander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0.64513888888888882</v>
      </c>
      <c r="C28" s="21" t="s">
        <v>326</v>
      </c>
      <c r="D28" s="132">
        <v>0.64930555555555558</v>
      </c>
      <c r="E28" s="23" t="str">
        <f>$A$42</f>
        <v>Springwijs J1</v>
      </c>
      <c r="F28" s="23"/>
      <c r="G28" s="21" t="s">
        <v>326</v>
      </c>
      <c r="H28" s="23" t="str">
        <f>$A$48</f>
        <v>Waterhof J1</v>
      </c>
      <c r="I28" s="24"/>
      <c r="J28" s="20"/>
      <c r="K28" s="25" t="s">
        <v>326</v>
      </c>
      <c r="L28" s="26"/>
      <c r="M28" s="27" t="str">
        <f>Scheids!$F$14</f>
        <v>Till Sander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Gabriël J1</v>
      </c>
      <c r="F29" s="23"/>
      <c r="G29" s="21" t="s">
        <v>326</v>
      </c>
      <c r="H29" s="23" t="str">
        <f>$A$41</f>
        <v>Maria J1</v>
      </c>
      <c r="I29" s="24"/>
      <c r="J29" s="20"/>
      <c r="K29" s="25" t="s">
        <v>326</v>
      </c>
      <c r="L29" s="26"/>
      <c r="M29" s="27" t="str">
        <f>Scheids!$D$14</f>
        <v>Ruud Bakas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Widar J1</v>
      </c>
      <c r="F30" s="23"/>
      <c r="G30" s="21" t="s">
        <v>326</v>
      </c>
      <c r="H30" s="23" t="str">
        <f>$A$45</f>
        <v>Talent J1</v>
      </c>
      <c r="I30" s="24"/>
      <c r="J30" s="20"/>
      <c r="K30" s="25" t="s">
        <v>326</v>
      </c>
      <c r="L30" s="26"/>
      <c r="M30" s="27" t="str">
        <f>Scheids!$D$14</f>
        <v>Ruud Bakas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 t="s">
        <v>326</v>
      </c>
      <c r="D31" s="132">
        <v>0.66388888888888886</v>
      </c>
      <c r="E31" s="23" t="str">
        <f>$A$48</f>
        <v>Waterhof J1</v>
      </c>
      <c r="F31" s="23"/>
      <c r="G31" s="21" t="s">
        <v>326</v>
      </c>
      <c r="H31" s="23" t="str">
        <f>$A$44</f>
        <v>Gabriël J1</v>
      </c>
      <c r="I31" s="24"/>
      <c r="J31" s="20"/>
      <c r="K31" s="25" t="s">
        <v>326</v>
      </c>
      <c r="L31" s="26"/>
      <c r="M31" s="27" t="str">
        <f>Scheids!$D$14</f>
        <v>Ruud Bakas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Galjoen J1</v>
      </c>
      <c r="F32" s="23"/>
      <c r="G32" s="21" t="s">
        <v>326</v>
      </c>
      <c r="H32" s="23" t="str">
        <f>$A$47</f>
        <v>Widar J1</v>
      </c>
      <c r="I32" s="24"/>
      <c r="J32" s="20"/>
      <c r="K32" s="25" t="s">
        <v>326</v>
      </c>
      <c r="L32" s="26"/>
      <c r="M32" s="27" t="str">
        <f>Scheids!$F$14</f>
        <v>Till Sander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Springwijs J1</v>
      </c>
      <c r="F33" s="23"/>
      <c r="G33" s="21" t="s">
        <v>326</v>
      </c>
      <c r="H33" s="23" t="str">
        <f>$A$46</f>
        <v>Horizon J1</v>
      </c>
      <c r="I33" s="24"/>
      <c r="J33" s="20"/>
      <c r="K33" s="25" t="s">
        <v>326</v>
      </c>
      <c r="L33" s="26"/>
      <c r="M33" s="27" t="str">
        <f>Scheids!$F$14</f>
        <v>Till Sander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Maria J1</v>
      </c>
      <c r="F34" s="23"/>
      <c r="G34" s="21" t="s">
        <v>326</v>
      </c>
      <c r="H34" s="23" t="str">
        <f>$A$45</f>
        <v>Talent J1</v>
      </c>
      <c r="I34" s="24"/>
      <c r="J34" s="20"/>
      <c r="K34" s="25" t="s">
        <v>326</v>
      </c>
      <c r="L34" s="26"/>
      <c r="M34" s="27" t="str">
        <f>Scheids!$F$14</f>
        <v>Till Sander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 t="s">
        <v>326</v>
      </c>
      <c r="D35" s="132">
        <v>0.68333333333333324</v>
      </c>
      <c r="E35" s="23" t="str">
        <f>$A$48</f>
        <v>Waterhof J1</v>
      </c>
      <c r="F35" s="23"/>
      <c r="G35" s="21" t="s">
        <v>326</v>
      </c>
      <c r="H35" s="23" t="str">
        <f>$A$43</f>
        <v>Galjoen J1</v>
      </c>
      <c r="I35" s="24"/>
      <c r="J35" s="20"/>
      <c r="K35" s="25" t="s">
        <v>326</v>
      </c>
      <c r="L35" s="26"/>
      <c r="M35" s="27" t="str">
        <f>Scheids!$D$14</f>
        <v>Ruud Bakas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Horizon J1</v>
      </c>
      <c r="F36" s="23"/>
      <c r="G36" s="21" t="s">
        <v>326</v>
      </c>
      <c r="H36" s="23" t="str">
        <f>$A$41</f>
        <v>Maria J1</v>
      </c>
      <c r="I36" s="24"/>
      <c r="J36" s="20"/>
      <c r="K36" s="25" t="s">
        <v>326</v>
      </c>
      <c r="L36" s="26"/>
      <c r="M36" s="27" t="str">
        <f>Scheids!$D$14</f>
        <v>Ruud Bakas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Talent J1</v>
      </c>
      <c r="F37" s="23"/>
      <c r="G37" s="21" t="s">
        <v>326</v>
      </c>
      <c r="H37" s="23" t="str">
        <f>$A$42</f>
        <v>Springwijs J1</v>
      </c>
      <c r="I37" s="24"/>
      <c r="J37" s="20"/>
      <c r="K37" s="25" t="s">
        <v>326</v>
      </c>
      <c r="L37" s="26"/>
      <c r="M37" s="27" t="str">
        <f>Scheids!$F$14</f>
        <v>Till Sander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Widar J1</v>
      </c>
      <c r="F38" s="34"/>
      <c r="G38" s="32" t="s">
        <v>326</v>
      </c>
      <c r="H38" s="34" t="str">
        <f>$A$44</f>
        <v>Gabriël J1</v>
      </c>
      <c r="I38" s="35"/>
      <c r="J38" s="31"/>
      <c r="K38" s="36" t="s">
        <v>326</v>
      </c>
      <c r="L38" s="37"/>
      <c r="M38" s="121" t="str">
        <f>Scheids!$F$14</f>
        <v>Till Sander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Scholen!$R$10</f>
        <v>Maria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0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Scholen!$R$11</f>
        <v>Springwijs J1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1"/>
      <c r="K42" s="139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Scholen!$R$12</f>
        <v>Galjoen J1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0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Scholen!$R$13</f>
        <v>Gabriël J1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1"/>
      <c r="M44" s="139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Scholen!$R$14</f>
        <v>Talent J1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45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Scholen!$R$15</f>
        <v>Horizon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1"/>
      <c r="H46" s="139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IF(Scholen!$R$16&lt;&gt;"",Scholen!$R$16,"")</f>
        <v>Widar J1</v>
      </c>
      <c r="B47" s="213"/>
      <c r="C47" s="213"/>
      <c r="D47" s="139"/>
      <c r="E47" s="140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IF(Scholen!$R$17&lt;&gt;"",Scholen!$R$17,"")</f>
        <v>Waterhof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2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Scholen!$B$22</f>
        <v>Jongens</v>
      </c>
      <c r="F8" s="175"/>
      <c r="G8" s="175"/>
      <c r="H8" s="176" t="s">
        <v>1</v>
      </c>
      <c r="I8" s="177" t="s">
        <v>81</v>
      </c>
      <c r="J8" s="175" t="s">
        <v>11</v>
      </c>
      <c r="K8" s="228">
        <f>Scholen!$C$21</f>
        <v>10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Titus J1</v>
      </c>
      <c r="F11" s="91"/>
      <c r="G11" s="89" t="s">
        <v>326</v>
      </c>
      <c r="H11" s="91" t="str">
        <f>$A$42</f>
        <v>Maria J2</v>
      </c>
      <c r="I11" s="15"/>
      <c r="J11" s="14"/>
      <c r="K11" s="92" t="s">
        <v>326</v>
      </c>
      <c r="L11" s="16"/>
      <c r="M11" s="17" t="str">
        <f>Scheids!$D$15</f>
        <v>Ruud van Oosten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Springwijs J2</v>
      </c>
      <c r="F12" s="23"/>
      <c r="G12" s="21" t="s">
        <v>326</v>
      </c>
      <c r="H12" s="23" t="str">
        <f>$A$44</f>
        <v>Galjoen J2</v>
      </c>
      <c r="I12" s="24"/>
      <c r="J12" s="20"/>
      <c r="K12" s="25" t="s">
        <v>326</v>
      </c>
      <c r="L12" s="26"/>
      <c r="M12" s="27" t="str">
        <f>Scheids!$D$15</f>
        <v>Ruud van Oosten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Gabriël J2</v>
      </c>
      <c r="F13" s="23"/>
      <c r="G13" s="21" t="s">
        <v>326</v>
      </c>
      <c r="H13" s="23" t="str">
        <f>$A$46</f>
        <v>DSV J1</v>
      </c>
      <c r="I13" s="24"/>
      <c r="J13" s="20"/>
      <c r="K13" s="25" t="s">
        <v>326</v>
      </c>
      <c r="L13" s="26"/>
      <c r="M13" s="27" t="str">
        <f>Scheids!$D$15</f>
        <v>Ruud van Oosten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 t="s">
        <v>326</v>
      </c>
      <c r="D14" s="132">
        <v>0.58124999999999993</v>
      </c>
      <c r="E14" s="133" t="str">
        <f>$A$47</f>
        <v>Mozaïek J1</v>
      </c>
      <c r="F14" s="23"/>
      <c r="G14" s="21" t="s">
        <v>326</v>
      </c>
      <c r="H14" s="23" t="str">
        <f>$A$48</f>
        <v>Widar J2</v>
      </c>
      <c r="I14" s="24"/>
      <c r="J14" s="20"/>
      <c r="K14" s="25" t="s">
        <v>326</v>
      </c>
      <c r="L14" s="26"/>
      <c r="M14" s="27" t="str">
        <f>Scheids!$F$15</f>
        <v>Michael Koster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Maria J2</v>
      </c>
      <c r="F15" s="23"/>
      <c r="G15" s="21" t="s">
        <v>326</v>
      </c>
      <c r="H15" s="23" t="str">
        <f>$A$43</f>
        <v>Springwijs J2</v>
      </c>
      <c r="I15" s="24"/>
      <c r="J15" s="20"/>
      <c r="K15" s="25" t="s">
        <v>326</v>
      </c>
      <c r="L15" s="26"/>
      <c r="M15" s="27" t="str">
        <f>Scheids!$F$15</f>
        <v>Michael Koster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Galjoen J2</v>
      </c>
      <c r="F16" s="23"/>
      <c r="G16" s="21" t="s">
        <v>326</v>
      </c>
      <c r="H16" s="23" t="str">
        <f>$A$45</f>
        <v>Gabriël J2</v>
      </c>
      <c r="I16" s="24"/>
      <c r="J16" s="20"/>
      <c r="K16" s="25" t="s">
        <v>326</v>
      </c>
      <c r="L16" s="26"/>
      <c r="M16" s="27" t="str">
        <f>Scheids!$F$15</f>
        <v>Michael Koster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DSV J1</v>
      </c>
      <c r="F17" s="23"/>
      <c r="G17" s="21" t="s">
        <v>326</v>
      </c>
      <c r="H17" s="23" t="str">
        <f>$A$47</f>
        <v>Mozaïek J1</v>
      </c>
      <c r="I17" s="24"/>
      <c r="J17" s="20"/>
      <c r="K17" s="25" t="s">
        <v>326</v>
      </c>
      <c r="L17" s="26"/>
      <c r="M17" s="27" t="str">
        <f>Scheids!$D$15</f>
        <v>Ruud van Oosten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 t="s">
        <v>326</v>
      </c>
      <c r="D18" s="132">
        <v>0.60069444444444442</v>
      </c>
      <c r="E18" s="23" t="str">
        <f>$A$48</f>
        <v>Widar J2</v>
      </c>
      <c r="F18" s="23"/>
      <c r="G18" s="21" t="s">
        <v>326</v>
      </c>
      <c r="H18" s="23" t="str">
        <f>$A$41</f>
        <v>Titus J1</v>
      </c>
      <c r="I18" s="24"/>
      <c r="J18" s="20"/>
      <c r="K18" s="25" t="s">
        <v>326</v>
      </c>
      <c r="L18" s="26"/>
      <c r="M18" s="27" t="str">
        <f>Scheids!$D$15</f>
        <v>Ruud van Oosten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Galjoen J2</v>
      </c>
      <c r="F19" s="23"/>
      <c r="G19" s="21" t="s">
        <v>326</v>
      </c>
      <c r="H19" s="23" t="str">
        <f>$A$42</f>
        <v>Maria J2</v>
      </c>
      <c r="I19" s="24"/>
      <c r="J19" s="20"/>
      <c r="K19" s="25" t="s">
        <v>326</v>
      </c>
      <c r="L19" s="26"/>
      <c r="M19" s="27" t="str">
        <f>Scheids!$D$15</f>
        <v>Ruud van Oosten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Springwijs J2</v>
      </c>
      <c r="F20" s="23"/>
      <c r="G20" s="21" t="s">
        <v>326</v>
      </c>
      <c r="H20" s="23" t="str">
        <f>$A$45</f>
        <v>Gabriël J2</v>
      </c>
      <c r="I20" s="24"/>
      <c r="J20" s="20"/>
      <c r="K20" s="25" t="s">
        <v>326</v>
      </c>
      <c r="L20" s="26"/>
      <c r="M20" s="27" t="str">
        <f>Scheids!$F$15</f>
        <v>Michael Koster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Titus J1</v>
      </c>
      <c r="F21" s="23"/>
      <c r="G21" s="21" t="s">
        <v>326</v>
      </c>
      <c r="H21" s="23" t="str">
        <f>$A$47</f>
        <v>Mozaïek J1</v>
      </c>
      <c r="I21" s="24"/>
      <c r="J21" s="20"/>
      <c r="K21" s="25" t="s">
        <v>326</v>
      </c>
      <c r="L21" s="26"/>
      <c r="M21" s="27" t="str">
        <f>Scheids!$F$15</f>
        <v>Michael Koster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 t="s">
        <v>326</v>
      </c>
      <c r="D22" s="132">
        <v>0.62013888888888891</v>
      </c>
      <c r="E22" s="23" t="str">
        <f>$A$46</f>
        <v>DSV J1</v>
      </c>
      <c r="F22" s="23"/>
      <c r="G22" s="21" t="s">
        <v>326</v>
      </c>
      <c r="H22" s="23" t="str">
        <f>$A$48</f>
        <v>Widar J2</v>
      </c>
      <c r="I22" s="24"/>
      <c r="J22" s="20"/>
      <c r="K22" s="25" t="s">
        <v>326</v>
      </c>
      <c r="L22" s="26"/>
      <c r="M22" s="27" t="str">
        <f>Scheids!$F$15</f>
        <v>Michael Koster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Titus J1</v>
      </c>
      <c r="F23" s="23"/>
      <c r="G23" s="21" t="s">
        <v>326</v>
      </c>
      <c r="H23" s="23" t="str">
        <f>$A$43</f>
        <v>Springwijs J2</v>
      </c>
      <c r="I23" s="24"/>
      <c r="J23" s="20"/>
      <c r="K23" s="25" t="s">
        <v>326</v>
      </c>
      <c r="L23" s="26"/>
      <c r="M23" s="27" t="str">
        <f>Scheids!$D$15</f>
        <v>Ruud van Oosten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DSV J1</v>
      </c>
      <c r="F24" s="23"/>
      <c r="G24" s="21" t="s">
        <v>326</v>
      </c>
      <c r="H24" s="23" t="str">
        <f>$A$44</f>
        <v>Galjoen J2</v>
      </c>
      <c r="I24" s="24"/>
      <c r="J24" s="20"/>
      <c r="K24" s="25" t="s">
        <v>326</v>
      </c>
      <c r="L24" s="26"/>
      <c r="M24" s="27" t="str">
        <f>Scheids!$D$15</f>
        <v>Ruud van Oosten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Maria J2</v>
      </c>
      <c r="F25" s="23"/>
      <c r="G25" s="21" t="s">
        <v>326</v>
      </c>
      <c r="H25" s="23" t="str">
        <f>$A$47</f>
        <v>Mozaïek J1</v>
      </c>
      <c r="I25" s="24"/>
      <c r="J25" s="20"/>
      <c r="K25" s="25" t="s">
        <v>326</v>
      </c>
      <c r="L25" s="26"/>
      <c r="M25" s="27" t="str">
        <f>Scheids!$D$15</f>
        <v>Ruud van Oosten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 t="s">
        <v>326</v>
      </c>
      <c r="D26" s="132">
        <v>0.63958333333333328</v>
      </c>
      <c r="E26" s="133" t="str">
        <f>$A$45</f>
        <v>Gabriël J2</v>
      </c>
      <c r="F26" s="23"/>
      <c r="G26" s="21" t="s">
        <v>326</v>
      </c>
      <c r="H26" s="23" t="str">
        <f>$A$48</f>
        <v>Widar J2</v>
      </c>
      <c r="I26" s="24"/>
      <c r="J26" s="20"/>
      <c r="K26" s="25" t="s">
        <v>326</v>
      </c>
      <c r="L26" s="26"/>
      <c r="M26" s="27" t="str">
        <f>Scheids!$F$15</f>
        <v>Michael Koster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Springwijs J2</v>
      </c>
      <c r="F27" s="23"/>
      <c r="G27" s="21" t="s">
        <v>326</v>
      </c>
      <c r="H27" s="23" t="str">
        <f>$A$46</f>
        <v>DSV J1</v>
      </c>
      <c r="I27" s="24"/>
      <c r="J27" s="20"/>
      <c r="K27" s="25" t="s">
        <v>326</v>
      </c>
      <c r="L27" s="26"/>
      <c r="M27" s="27" t="str">
        <f>Scheids!$F$15</f>
        <v>Michael Koster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0.64513888888888882</v>
      </c>
      <c r="C28" s="21" t="s">
        <v>326</v>
      </c>
      <c r="D28" s="132">
        <v>0.64930555555555558</v>
      </c>
      <c r="E28" s="23" t="str">
        <f>$A$42</f>
        <v>Maria J2</v>
      </c>
      <c r="F28" s="23"/>
      <c r="G28" s="21" t="s">
        <v>326</v>
      </c>
      <c r="H28" s="23" t="str">
        <f>$A$48</f>
        <v>Widar J2</v>
      </c>
      <c r="I28" s="24"/>
      <c r="J28" s="20"/>
      <c r="K28" s="25" t="s">
        <v>326</v>
      </c>
      <c r="L28" s="26"/>
      <c r="M28" s="27" t="str">
        <f>Scheids!$F$15</f>
        <v>Michael Koster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Galjoen J2</v>
      </c>
      <c r="F29" s="23"/>
      <c r="G29" s="21" t="s">
        <v>326</v>
      </c>
      <c r="H29" s="23" t="str">
        <f>$A$41</f>
        <v>Titus J1</v>
      </c>
      <c r="I29" s="24"/>
      <c r="J29" s="20"/>
      <c r="K29" s="25" t="s">
        <v>326</v>
      </c>
      <c r="L29" s="26"/>
      <c r="M29" s="27" t="str">
        <f>Scheids!$D$15</f>
        <v>Ruud van Oosten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Mozaïek J1</v>
      </c>
      <c r="F30" s="23"/>
      <c r="G30" s="21" t="s">
        <v>326</v>
      </c>
      <c r="H30" s="23" t="str">
        <f>$A$45</f>
        <v>Gabriël J2</v>
      </c>
      <c r="I30" s="24"/>
      <c r="J30" s="20"/>
      <c r="K30" s="25" t="s">
        <v>326</v>
      </c>
      <c r="L30" s="26"/>
      <c r="M30" s="27" t="str">
        <f>Scheids!$D$15</f>
        <v>Ruud van Oosten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 t="s">
        <v>326</v>
      </c>
      <c r="D31" s="132">
        <v>0.66388888888888886</v>
      </c>
      <c r="E31" s="23" t="str">
        <f>$A$48</f>
        <v>Widar J2</v>
      </c>
      <c r="F31" s="23"/>
      <c r="G31" s="21" t="s">
        <v>326</v>
      </c>
      <c r="H31" s="23" t="str">
        <f>$A$44</f>
        <v>Galjoen J2</v>
      </c>
      <c r="I31" s="24"/>
      <c r="J31" s="20"/>
      <c r="K31" s="25" t="s">
        <v>326</v>
      </c>
      <c r="L31" s="26"/>
      <c r="M31" s="27" t="str">
        <f>Scheids!$D$15</f>
        <v>Ruud van Oosten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Springwijs J2</v>
      </c>
      <c r="F32" s="23"/>
      <c r="G32" s="21" t="s">
        <v>326</v>
      </c>
      <c r="H32" s="23" t="str">
        <f>$A$47</f>
        <v>Mozaïek J1</v>
      </c>
      <c r="I32" s="24"/>
      <c r="J32" s="20"/>
      <c r="K32" s="25" t="s">
        <v>326</v>
      </c>
      <c r="L32" s="26"/>
      <c r="M32" s="27" t="str">
        <f>Scheids!$F$15</f>
        <v>Michael Koster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Maria J2</v>
      </c>
      <c r="F33" s="23"/>
      <c r="G33" s="21" t="s">
        <v>326</v>
      </c>
      <c r="H33" s="23" t="str">
        <f>$A$46</f>
        <v>DSV J1</v>
      </c>
      <c r="I33" s="24"/>
      <c r="J33" s="20"/>
      <c r="K33" s="25" t="s">
        <v>326</v>
      </c>
      <c r="L33" s="26"/>
      <c r="M33" s="27" t="str">
        <f>Scheids!$F$15</f>
        <v>Michael Koster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Titus J1</v>
      </c>
      <c r="F34" s="23"/>
      <c r="G34" s="21" t="s">
        <v>326</v>
      </c>
      <c r="H34" s="23" t="str">
        <f>$A$45</f>
        <v>Gabriël J2</v>
      </c>
      <c r="I34" s="24"/>
      <c r="J34" s="20"/>
      <c r="K34" s="25" t="s">
        <v>326</v>
      </c>
      <c r="L34" s="26"/>
      <c r="M34" s="27" t="str">
        <f>Scheids!$F$15</f>
        <v>Michael Koster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 t="s">
        <v>326</v>
      </c>
      <c r="D35" s="132">
        <v>0.68333333333333324</v>
      </c>
      <c r="E35" s="23" t="str">
        <f>$A$48</f>
        <v>Widar J2</v>
      </c>
      <c r="F35" s="23"/>
      <c r="G35" s="21" t="s">
        <v>326</v>
      </c>
      <c r="H35" s="23" t="str">
        <f>$A$43</f>
        <v>Springwijs J2</v>
      </c>
      <c r="I35" s="24"/>
      <c r="J35" s="20"/>
      <c r="K35" s="25" t="s">
        <v>326</v>
      </c>
      <c r="L35" s="26"/>
      <c r="M35" s="27" t="str">
        <f>Scheids!$D$15</f>
        <v>Ruud van Oosten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DSV J1</v>
      </c>
      <c r="F36" s="23"/>
      <c r="G36" s="21" t="s">
        <v>326</v>
      </c>
      <c r="H36" s="23" t="str">
        <f>$A$41</f>
        <v>Titus J1</v>
      </c>
      <c r="I36" s="24"/>
      <c r="J36" s="20"/>
      <c r="K36" s="25" t="s">
        <v>326</v>
      </c>
      <c r="L36" s="26"/>
      <c r="M36" s="27" t="str">
        <f>Scheids!$D$15</f>
        <v>Ruud van Oosten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Gabriël J2</v>
      </c>
      <c r="F37" s="23"/>
      <c r="G37" s="21" t="s">
        <v>326</v>
      </c>
      <c r="H37" s="23" t="str">
        <f>$A$42</f>
        <v>Maria J2</v>
      </c>
      <c r="I37" s="24"/>
      <c r="J37" s="20"/>
      <c r="K37" s="25" t="s">
        <v>326</v>
      </c>
      <c r="L37" s="26"/>
      <c r="M37" s="27" t="str">
        <f>Scheids!$F$15</f>
        <v>Michael Koster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Mozaïek J1</v>
      </c>
      <c r="F38" s="34"/>
      <c r="G38" s="32" t="s">
        <v>326</v>
      </c>
      <c r="H38" s="34" t="str">
        <f>$A$44</f>
        <v>Galjoen J2</v>
      </c>
      <c r="I38" s="35"/>
      <c r="J38" s="31"/>
      <c r="K38" s="36" t="s">
        <v>326</v>
      </c>
      <c r="L38" s="37"/>
      <c r="M38" s="121" t="str">
        <f>Scheids!$F$15</f>
        <v>Michael Koster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Scholen!$B$24</f>
        <v>Titus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0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Scholen!$B$25</f>
        <v>Maria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1"/>
      <c r="K42" s="139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Scholen!$B$26</f>
        <v>Springwijs J2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0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Scholen!$B$27</f>
        <v>Galjoen J2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1"/>
      <c r="M44" s="139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Scholen!$B$28</f>
        <v>Gabriël J2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45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Scholen!$B$29</f>
        <v>DSV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1"/>
      <c r="H46" s="139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IF(Scholen!$B$30&lt;&gt;"",Scholen!$B$30,"")</f>
        <v>Mozaïek J1</v>
      </c>
      <c r="B47" s="213"/>
      <c r="C47" s="213"/>
      <c r="D47" s="139"/>
      <c r="E47" s="140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IF(Scholen!$B$31&lt;&gt;"",Scholen!$B$31,"")</f>
        <v>Widar J2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3"/>
  <dimension ref="A1:Y48"/>
  <sheetViews>
    <sheetView topLeftCell="A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Scholen!$D$22</f>
        <v>Jongens</v>
      </c>
      <c r="F8" s="175"/>
      <c r="G8" s="175"/>
      <c r="H8" s="176" t="s">
        <v>1</v>
      </c>
      <c r="I8" s="177" t="s">
        <v>82</v>
      </c>
      <c r="J8" s="175" t="s">
        <v>11</v>
      </c>
      <c r="K8" s="228">
        <f>Scholen!$E$21</f>
        <v>11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Horizon J2</v>
      </c>
      <c r="F11" s="91"/>
      <c r="G11" s="89" t="s">
        <v>326</v>
      </c>
      <c r="H11" s="91" t="str">
        <f>$A$42</f>
        <v>Talent J2</v>
      </c>
      <c r="I11" s="15"/>
      <c r="J11" s="14"/>
      <c r="K11" s="92" t="s">
        <v>326</v>
      </c>
      <c r="L11" s="16"/>
      <c r="M11" s="17" t="str">
        <f>Scheids!$D$16</f>
        <v>Marlin Blitterswijck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Maria J3</v>
      </c>
      <c r="F12" s="23"/>
      <c r="G12" s="21" t="s">
        <v>326</v>
      </c>
      <c r="H12" s="23" t="str">
        <f>$A$44</f>
        <v>Springwijs J3</v>
      </c>
      <c r="I12" s="24"/>
      <c r="J12" s="20"/>
      <c r="K12" s="25" t="s">
        <v>326</v>
      </c>
      <c r="L12" s="26"/>
      <c r="M12" s="27" t="str">
        <f>Scheids!$D$16</f>
        <v>Marlin Blitterswijck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Galjoen J3</v>
      </c>
      <c r="F13" s="23"/>
      <c r="G13" s="21" t="s">
        <v>326</v>
      </c>
      <c r="H13" s="23" t="str">
        <f>$A$46</f>
        <v>BMS J1</v>
      </c>
      <c r="I13" s="24"/>
      <c r="J13" s="20"/>
      <c r="K13" s="25" t="s">
        <v>326</v>
      </c>
      <c r="L13" s="26"/>
      <c r="M13" s="27" t="str">
        <f>Scheids!$D$16</f>
        <v>Marlin Blitterswijck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Waterhof J2</v>
      </c>
      <c r="F14" s="23"/>
      <c r="G14" s="21"/>
      <c r="H14" s="23" t="str">
        <f>$A$48</f>
        <v>Freinet J1</v>
      </c>
      <c r="I14" s="24"/>
      <c r="J14" s="20"/>
      <c r="K14" s="25" t="s">
        <v>326</v>
      </c>
      <c r="L14" s="26"/>
      <c r="M14" s="27" t="str">
        <f>Scheids!$F$16</f>
        <v>Jeroen Timpman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Talent J2</v>
      </c>
      <c r="F15" s="23"/>
      <c r="G15" s="21" t="s">
        <v>326</v>
      </c>
      <c r="H15" s="23" t="str">
        <f>$A$43</f>
        <v>Maria J3</v>
      </c>
      <c r="I15" s="24"/>
      <c r="J15" s="20"/>
      <c r="K15" s="25" t="s">
        <v>326</v>
      </c>
      <c r="L15" s="26"/>
      <c r="M15" s="27" t="str">
        <f>Scheids!$F$16</f>
        <v>Jeroen Timpman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Springwijs J3</v>
      </c>
      <c r="F16" s="23"/>
      <c r="G16" s="21" t="s">
        <v>326</v>
      </c>
      <c r="H16" s="23" t="str">
        <f>$A$45</f>
        <v>Galjoen J3</v>
      </c>
      <c r="I16" s="24"/>
      <c r="J16" s="20"/>
      <c r="K16" s="25" t="s">
        <v>326</v>
      </c>
      <c r="L16" s="26"/>
      <c r="M16" s="27" t="str">
        <f>Scheids!$F$16</f>
        <v>Jeroen Timpman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BMS J1</v>
      </c>
      <c r="F17" s="23"/>
      <c r="G17" s="21" t="s">
        <v>326</v>
      </c>
      <c r="H17" s="23" t="str">
        <f>$A$47</f>
        <v>Waterhof J2</v>
      </c>
      <c r="I17" s="24"/>
      <c r="J17" s="20"/>
      <c r="K17" s="25" t="s">
        <v>326</v>
      </c>
      <c r="L17" s="26"/>
      <c r="M17" s="27" t="str">
        <f>Scheids!$D$16</f>
        <v>Marlin Blitterswijck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Freinet J1</v>
      </c>
      <c r="F18" s="23"/>
      <c r="G18" s="21"/>
      <c r="H18" s="23" t="str">
        <f>$A$41</f>
        <v>Horizon J2</v>
      </c>
      <c r="I18" s="24"/>
      <c r="J18" s="20"/>
      <c r="K18" s="25" t="s">
        <v>326</v>
      </c>
      <c r="L18" s="26"/>
      <c r="M18" s="27" t="str">
        <f>Scheids!$D$16</f>
        <v>Marlin Blitterswijck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Springwijs J3</v>
      </c>
      <c r="F19" s="23"/>
      <c r="G19" s="21" t="s">
        <v>326</v>
      </c>
      <c r="H19" s="23" t="str">
        <f>$A$42</f>
        <v>Talent J2</v>
      </c>
      <c r="I19" s="24"/>
      <c r="J19" s="20"/>
      <c r="K19" s="25" t="s">
        <v>326</v>
      </c>
      <c r="L19" s="26"/>
      <c r="M19" s="27" t="str">
        <f>Scheids!$D$16</f>
        <v>Marlin Blitterswijck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Maria J3</v>
      </c>
      <c r="F20" s="23"/>
      <c r="G20" s="21" t="s">
        <v>326</v>
      </c>
      <c r="H20" s="23" t="str">
        <f>$A$45</f>
        <v>Galjoen J3</v>
      </c>
      <c r="I20" s="24"/>
      <c r="J20" s="20"/>
      <c r="K20" s="25" t="s">
        <v>326</v>
      </c>
      <c r="L20" s="26"/>
      <c r="M20" s="27" t="str">
        <f>Scheids!$F$16</f>
        <v>Jeroen Timpman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Horizon J2</v>
      </c>
      <c r="F21" s="23"/>
      <c r="G21" s="21" t="s">
        <v>326</v>
      </c>
      <c r="H21" s="23" t="str">
        <f>$A$47</f>
        <v>Waterhof J2</v>
      </c>
      <c r="I21" s="24"/>
      <c r="J21" s="20"/>
      <c r="K21" s="25" t="s">
        <v>326</v>
      </c>
      <c r="L21" s="26"/>
      <c r="M21" s="27" t="str">
        <f>Scheids!$F$16</f>
        <v>Jeroen Timpman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BMS J1</v>
      </c>
      <c r="F22" s="23"/>
      <c r="G22" s="21"/>
      <c r="H22" s="23" t="str">
        <f>$A$48</f>
        <v>Freinet J1</v>
      </c>
      <c r="I22" s="24"/>
      <c r="J22" s="20"/>
      <c r="K22" s="25" t="s">
        <v>326</v>
      </c>
      <c r="L22" s="26"/>
      <c r="M22" s="27" t="str">
        <f>Scheids!$F$16</f>
        <v>Jeroen Timpman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Horizon J2</v>
      </c>
      <c r="F23" s="23"/>
      <c r="G23" s="21" t="s">
        <v>326</v>
      </c>
      <c r="H23" s="23" t="str">
        <f>$A$43</f>
        <v>Maria J3</v>
      </c>
      <c r="I23" s="24"/>
      <c r="J23" s="20"/>
      <c r="K23" s="25" t="s">
        <v>326</v>
      </c>
      <c r="L23" s="26"/>
      <c r="M23" s="27" t="str">
        <f>Scheids!$D$16</f>
        <v>Marlin Blitterswijck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BMS J1</v>
      </c>
      <c r="F24" s="23"/>
      <c r="G24" s="21" t="s">
        <v>326</v>
      </c>
      <c r="H24" s="23" t="str">
        <f>$A$44</f>
        <v>Springwijs J3</v>
      </c>
      <c r="I24" s="24"/>
      <c r="J24" s="20"/>
      <c r="K24" s="25" t="s">
        <v>326</v>
      </c>
      <c r="L24" s="26"/>
      <c r="M24" s="27" t="str">
        <f>Scheids!$D$16</f>
        <v>Marlin Blitterswijck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Talent J2</v>
      </c>
      <c r="F25" s="23"/>
      <c r="G25" s="21" t="s">
        <v>326</v>
      </c>
      <c r="H25" s="23" t="str">
        <f>$A$47</f>
        <v>Waterhof J2</v>
      </c>
      <c r="I25" s="24"/>
      <c r="J25" s="20"/>
      <c r="K25" s="25" t="s">
        <v>326</v>
      </c>
      <c r="L25" s="26"/>
      <c r="M25" s="27" t="str">
        <f>Scheids!$D$16</f>
        <v>Marlin Blitterswijck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Galjoen J3</v>
      </c>
      <c r="F26" s="23"/>
      <c r="G26" s="21"/>
      <c r="H26" s="23" t="str">
        <f>$A$48</f>
        <v>Freinet J1</v>
      </c>
      <c r="I26" s="24"/>
      <c r="J26" s="20"/>
      <c r="K26" s="25" t="s">
        <v>326</v>
      </c>
      <c r="L26" s="26"/>
      <c r="M26" s="27" t="str">
        <f>Scheids!$F$16</f>
        <v>Jeroen Timpman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Maria J3</v>
      </c>
      <c r="F27" s="23"/>
      <c r="G27" s="21" t="s">
        <v>326</v>
      </c>
      <c r="H27" s="23" t="str">
        <f>$A$46</f>
        <v>BMS J1</v>
      </c>
      <c r="I27" s="24"/>
      <c r="J27" s="20"/>
      <c r="K27" s="25" t="s">
        <v>326</v>
      </c>
      <c r="L27" s="26"/>
      <c r="M27" s="27" t="str">
        <f>Scheids!$F$16</f>
        <v>Jeroen Timpman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Talent J2</v>
      </c>
      <c r="F28" s="23"/>
      <c r="G28" s="21"/>
      <c r="H28" s="23" t="str">
        <f>$A$48</f>
        <v>Freinet J1</v>
      </c>
      <c r="I28" s="24"/>
      <c r="J28" s="20"/>
      <c r="K28" s="25" t="s">
        <v>326</v>
      </c>
      <c r="L28" s="26"/>
      <c r="M28" s="27" t="str">
        <f>Scheids!$F$16</f>
        <v>Jeroen Timpman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Springwijs J3</v>
      </c>
      <c r="F29" s="23"/>
      <c r="G29" s="21" t="s">
        <v>326</v>
      </c>
      <c r="H29" s="23" t="str">
        <f>$A$41</f>
        <v>Horizon J2</v>
      </c>
      <c r="I29" s="24"/>
      <c r="J29" s="20"/>
      <c r="K29" s="25" t="s">
        <v>326</v>
      </c>
      <c r="L29" s="26"/>
      <c r="M29" s="27" t="str">
        <f>Scheids!$D$16</f>
        <v>Marlin Blitterswijck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Waterhof J2</v>
      </c>
      <c r="F30" s="23"/>
      <c r="G30" s="21" t="s">
        <v>326</v>
      </c>
      <c r="H30" s="23" t="str">
        <f>$A$45</f>
        <v>Galjoen J3</v>
      </c>
      <c r="I30" s="24"/>
      <c r="J30" s="20"/>
      <c r="K30" s="25" t="s">
        <v>326</v>
      </c>
      <c r="L30" s="26"/>
      <c r="M30" s="27" t="str">
        <f>Scheids!$D$16</f>
        <v>Marlin Blitterswijck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Freinet J1</v>
      </c>
      <c r="F31" s="23"/>
      <c r="G31" s="21"/>
      <c r="H31" s="23" t="str">
        <f>$A$44</f>
        <v>Springwijs J3</v>
      </c>
      <c r="I31" s="24"/>
      <c r="J31" s="20"/>
      <c r="K31" s="25" t="s">
        <v>326</v>
      </c>
      <c r="L31" s="26"/>
      <c r="M31" s="27" t="str">
        <f>Scheids!$D$16</f>
        <v>Marlin Blitterswijck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Maria J3</v>
      </c>
      <c r="F32" s="23"/>
      <c r="G32" s="21" t="s">
        <v>326</v>
      </c>
      <c r="H32" s="23" t="str">
        <f>$A$47</f>
        <v>Waterhof J2</v>
      </c>
      <c r="I32" s="24"/>
      <c r="J32" s="20"/>
      <c r="K32" s="25" t="s">
        <v>326</v>
      </c>
      <c r="L32" s="26"/>
      <c r="M32" s="27" t="str">
        <f>Scheids!$F$16</f>
        <v>Jeroen Timpman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Talent J2</v>
      </c>
      <c r="F33" s="23"/>
      <c r="G33" s="21" t="s">
        <v>326</v>
      </c>
      <c r="H33" s="23" t="str">
        <f>$A$46</f>
        <v>BMS J1</v>
      </c>
      <c r="I33" s="24"/>
      <c r="J33" s="20"/>
      <c r="K33" s="25" t="s">
        <v>326</v>
      </c>
      <c r="L33" s="26"/>
      <c r="M33" s="27" t="str">
        <f>Scheids!$F$16</f>
        <v>Jeroen Timpman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Horizon J2</v>
      </c>
      <c r="F34" s="23"/>
      <c r="G34" s="21" t="s">
        <v>326</v>
      </c>
      <c r="H34" s="23" t="str">
        <f>$A$45</f>
        <v>Galjoen J3</v>
      </c>
      <c r="I34" s="24"/>
      <c r="J34" s="20"/>
      <c r="K34" s="25" t="s">
        <v>326</v>
      </c>
      <c r="L34" s="26"/>
      <c r="M34" s="27" t="str">
        <f>Scheids!$F$16</f>
        <v>Jeroen Timpman</v>
      </c>
      <c r="N34" s="28"/>
      <c r="O34" s="29"/>
      <c r="Q34" s="90"/>
      <c r="R34" s="90"/>
    </row>
    <row r="35" spans="1:25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Freinet J1</v>
      </c>
      <c r="F35" s="23"/>
      <c r="G35" s="21"/>
      <c r="H35" s="23" t="str">
        <f>$A$43</f>
        <v>Maria J3</v>
      </c>
      <c r="I35" s="24"/>
      <c r="J35" s="20"/>
      <c r="K35" s="25" t="s">
        <v>326</v>
      </c>
      <c r="L35" s="26"/>
      <c r="M35" s="27" t="str">
        <f>Scheids!$D$16</f>
        <v>Marlin Blitterswijck</v>
      </c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BMS J1</v>
      </c>
      <c r="F36" s="23"/>
      <c r="G36" s="21" t="s">
        <v>326</v>
      </c>
      <c r="H36" s="23" t="str">
        <f>$A$41</f>
        <v>Horizon J2</v>
      </c>
      <c r="I36" s="24"/>
      <c r="J36" s="20"/>
      <c r="K36" s="25" t="s">
        <v>326</v>
      </c>
      <c r="L36" s="26"/>
      <c r="M36" s="27" t="str">
        <f>Scheids!$D$16</f>
        <v>Marlin Blitterswijck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Galjoen J3</v>
      </c>
      <c r="F37" s="23"/>
      <c r="G37" s="21" t="s">
        <v>326</v>
      </c>
      <c r="H37" s="23" t="str">
        <f>$A$42</f>
        <v>Talent J2</v>
      </c>
      <c r="I37" s="24"/>
      <c r="J37" s="20"/>
      <c r="K37" s="25" t="s">
        <v>326</v>
      </c>
      <c r="L37" s="26"/>
      <c r="M37" s="27" t="str">
        <f>Scheids!$F$16</f>
        <v>Jeroen Timpman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Waterhof J2</v>
      </c>
      <c r="F38" s="34"/>
      <c r="G38" s="32" t="s">
        <v>326</v>
      </c>
      <c r="H38" s="34" t="str">
        <f>$A$44</f>
        <v>Springwijs J3</v>
      </c>
      <c r="I38" s="35"/>
      <c r="J38" s="31"/>
      <c r="K38" s="36" t="s">
        <v>326</v>
      </c>
      <c r="L38" s="37"/>
      <c r="M38" s="121" t="str">
        <f>Scheids!$F$16</f>
        <v>Jeroen Timpman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Scholen!$D$24</f>
        <v>Horizon J2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Scholen!$D$25</f>
        <v>Talent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Scholen!$D$26</f>
        <v>Maria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Scholen!$D$27</f>
        <v>Springwijs J3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Scholen!$D$28</f>
        <v>Galjoen J3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Scholen!$D$29</f>
        <v>BMS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>
        <f t="shared" si="1"/>
        <v>3</v>
      </c>
      <c r="Y46" s="2">
        <v>3</v>
      </c>
    </row>
    <row r="47" spans="1:25" ht="18.75" customHeight="1" x14ac:dyDescent="0.25">
      <c r="A47" s="138" t="str">
        <f>IF(Scholen!$D$30&lt;&gt;"",Scholen!$D$30,"")</f>
        <v>Waterhof J2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IF(Scholen!$D$31&lt;&gt;"",Scholen!$D$31,"")</f>
        <v>Freinet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4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Scholen!$F$22</f>
        <v>Jongens</v>
      </c>
      <c r="F8" s="175"/>
      <c r="G8" s="175"/>
      <c r="H8" s="176" t="s">
        <v>1</v>
      </c>
      <c r="I8" s="177" t="s">
        <v>83</v>
      </c>
      <c r="J8" s="175" t="s">
        <v>11</v>
      </c>
      <c r="K8" s="228">
        <f>Scholen!$G$21</f>
        <v>12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Eglantier-V J1</v>
      </c>
      <c r="F11" s="91"/>
      <c r="G11" s="89" t="s">
        <v>326</v>
      </c>
      <c r="H11" s="91" t="str">
        <f>$A$42</f>
        <v>Titus J2</v>
      </c>
      <c r="I11" s="15"/>
      <c r="J11" s="14"/>
      <c r="K11" s="92" t="s">
        <v>326</v>
      </c>
      <c r="L11" s="16"/>
      <c r="M11" s="17" t="str">
        <f>Scheids!$D$17</f>
        <v xml:space="preserve">Louis vd Weijde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Gabriël J3</v>
      </c>
      <c r="F12" s="23"/>
      <c r="G12" s="21" t="s">
        <v>326</v>
      </c>
      <c r="H12" s="23" t="str">
        <f>$A$44</f>
        <v>Maria J4</v>
      </c>
      <c r="I12" s="24"/>
      <c r="J12" s="20"/>
      <c r="K12" s="25" t="s">
        <v>326</v>
      </c>
      <c r="L12" s="26"/>
      <c r="M12" s="27" t="str">
        <f>Scheids!$D$17</f>
        <v xml:space="preserve">Louis vd Weijde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Springwijs J4</v>
      </c>
      <c r="F13" s="23"/>
      <c r="G13" s="21" t="s">
        <v>326</v>
      </c>
      <c r="H13" s="23" t="str">
        <f>$A$46</f>
        <v>Galjoen J4</v>
      </c>
      <c r="I13" s="24"/>
      <c r="J13" s="20"/>
      <c r="K13" s="25" t="s">
        <v>326</v>
      </c>
      <c r="L13" s="26"/>
      <c r="M13" s="27" t="str">
        <f>Scheids!$D$17</f>
        <v xml:space="preserve">Louis vd Weijde 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Widar J3</v>
      </c>
      <c r="F14" s="23"/>
      <c r="G14" s="21"/>
      <c r="H14" s="23" t="str">
        <f>$A$48</f>
        <v>Waterhof J3</v>
      </c>
      <c r="I14" s="24"/>
      <c r="J14" s="20"/>
      <c r="K14" s="25" t="s">
        <v>326</v>
      </c>
      <c r="L14" s="26"/>
      <c r="M14" s="27" t="str">
        <f>Scheids!$F$17</f>
        <v>Joost Los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Titus J2</v>
      </c>
      <c r="F15" s="23"/>
      <c r="G15" s="21" t="s">
        <v>326</v>
      </c>
      <c r="H15" s="23" t="str">
        <f>$A$43</f>
        <v>Gabriël J3</v>
      </c>
      <c r="I15" s="24"/>
      <c r="J15" s="20"/>
      <c r="K15" s="25" t="s">
        <v>326</v>
      </c>
      <c r="L15" s="26"/>
      <c r="M15" s="27" t="str">
        <f>Scheids!$F$17</f>
        <v>Joost Los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J4</v>
      </c>
      <c r="F16" s="23"/>
      <c r="G16" s="21" t="s">
        <v>326</v>
      </c>
      <c r="H16" s="23" t="str">
        <f>$A$45</f>
        <v>Springwijs J4</v>
      </c>
      <c r="I16" s="24"/>
      <c r="J16" s="20"/>
      <c r="K16" s="25" t="s">
        <v>326</v>
      </c>
      <c r="L16" s="26"/>
      <c r="M16" s="27" t="str">
        <f>Scheids!$F$17</f>
        <v>Joost Los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Galjoen J4</v>
      </c>
      <c r="F17" s="23"/>
      <c r="G17" s="21" t="s">
        <v>326</v>
      </c>
      <c r="H17" s="23" t="str">
        <f>$A$47</f>
        <v>Widar J3</v>
      </c>
      <c r="I17" s="24"/>
      <c r="J17" s="20"/>
      <c r="K17" s="25" t="s">
        <v>326</v>
      </c>
      <c r="L17" s="26"/>
      <c r="M17" s="27" t="str">
        <f>Scheids!$D$17</f>
        <v xml:space="preserve">Louis vd Weijde 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Waterhof J3</v>
      </c>
      <c r="F18" s="23"/>
      <c r="G18" s="21"/>
      <c r="H18" s="23" t="str">
        <f>$A$41</f>
        <v>Eglantier-V J1</v>
      </c>
      <c r="I18" s="24"/>
      <c r="J18" s="20"/>
      <c r="K18" s="25" t="s">
        <v>326</v>
      </c>
      <c r="L18" s="26"/>
      <c r="M18" s="27" t="str">
        <f>Scheids!$D$17</f>
        <v xml:space="preserve">Louis vd Weijde 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J4</v>
      </c>
      <c r="F19" s="23"/>
      <c r="G19" s="21" t="s">
        <v>326</v>
      </c>
      <c r="H19" s="23" t="str">
        <f>$A$42</f>
        <v>Titus J2</v>
      </c>
      <c r="I19" s="24"/>
      <c r="J19" s="20"/>
      <c r="K19" s="25" t="s">
        <v>326</v>
      </c>
      <c r="L19" s="26"/>
      <c r="M19" s="27" t="str">
        <f>Scheids!$D$17</f>
        <v xml:space="preserve">Louis vd Weijde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Gabriël J3</v>
      </c>
      <c r="F20" s="23"/>
      <c r="G20" s="21" t="s">
        <v>326</v>
      </c>
      <c r="H20" s="23" t="str">
        <f>$A$45</f>
        <v>Springwijs J4</v>
      </c>
      <c r="I20" s="24"/>
      <c r="J20" s="20"/>
      <c r="K20" s="25" t="s">
        <v>326</v>
      </c>
      <c r="L20" s="26"/>
      <c r="M20" s="27" t="str">
        <f>Scheids!$F$17</f>
        <v>Joost Los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Eglantier-V J1</v>
      </c>
      <c r="F21" s="23"/>
      <c r="G21" s="21" t="s">
        <v>326</v>
      </c>
      <c r="H21" s="23" t="str">
        <f>$A$47</f>
        <v>Widar J3</v>
      </c>
      <c r="I21" s="24"/>
      <c r="J21" s="20"/>
      <c r="K21" s="25" t="s">
        <v>326</v>
      </c>
      <c r="L21" s="26"/>
      <c r="M21" s="27" t="str">
        <f>Scheids!$F$17</f>
        <v>Joost Los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Galjoen J4</v>
      </c>
      <c r="F22" s="23"/>
      <c r="G22" s="21"/>
      <c r="H22" s="23" t="str">
        <f>$A$48</f>
        <v>Waterhof J3</v>
      </c>
      <c r="I22" s="24"/>
      <c r="J22" s="20"/>
      <c r="K22" s="25" t="s">
        <v>326</v>
      </c>
      <c r="L22" s="26"/>
      <c r="M22" s="27" t="str">
        <f>Scheids!$F$17</f>
        <v>Joost Los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Eglantier-V J1</v>
      </c>
      <c r="F23" s="23"/>
      <c r="G23" s="21" t="s">
        <v>326</v>
      </c>
      <c r="H23" s="23" t="str">
        <f>$A$43</f>
        <v>Gabriël J3</v>
      </c>
      <c r="I23" s="24"/>
      <c r="J23" s="20"/>
      <c r="K23" s="25" t="s">
        <v>326</v>
      </c>
      <c r="L23" s="26"/>
      <c r="M23" s="27" t="str">
        <f>Scheids!$D$17</f>
        <v xml:space="preserve">Louis vd Weijde 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Galjoen J4</v>
      </c>
      <c r="F24" s="23"/>
      <c r="G24" s="21" t="s">
        <v>326</v>
      </c>
      <c r="H24" s="23" t="str">
        <f>$A$44</f>
        <v>Maria J4</v>
      </c>
      <c r="I24" s="24"/>
      <c r="J24" s="20"/>
      <c r="K24" s="25" t="s">
        <v>326</v>
      </c>
      <c r="L24" s="26"/>
      <c r="M24" s="27" t="str">
        <f>Scheids!$D$17</f>
        <v xml:space="preserve">Louis vd Weijde 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Titus J2</v>
      </c>
      <c r="F25" s="23"/>
      <c r="G25" s="21" t="s">
        <v>326</v>
      </c>
      <c r="H25" s="23" t="str">
        <f>$A$47</f>
        <v>Widar J3</v>
      </c>
      <c r="I25" s="24"/>
      <c r="J25" s="20"/>
      <c r="K25" s="25" t="s">
        <v>326</v>
      </c>
      <c r="L25" s="26"/>
      <c r="M25" s="27" t="str">
        <f>Scheids!$D$17</f>
        <v xml:space="preserve">Louis vd Weijde 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Springwijs J4</v>
      </c>
      <c r="F26" s="23"/>
      <c r="G26" s="21"/>
      <c r="H26" s="23" t="str">
        <f>$A$48</f>
        <v>Waterhof J3</v>
      </c>
      <c r="I26" s="24"/>
      <c r="J26" s="20"/>
      <c r="K26" s="25" t="s">
        <v>326</v>
      </c>
      <c r="L26" s="26"/>
      <c r="M26" s="27" t="str">
        <f>Scheids!$F$17</f>
        <v>Joost Los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Gabriël J3</v>
      </c>
      <c r="F27" s="23"/>
      <c r="G27" s="21" t="s">
        <v>326</v>
      </c>
      <c r="H27" s="23" t="str">
        <f>$A$46</f>
        <v>Galjoen J4</v>
      </c>
      <c r="I27" s="24"/>
      <c r="J27" s="20"/>
      <c r="K27" s="25" t="s">
        <v>326</v>
      </c>
      <c r="L27" s="26"/>
      <c r="M27" s="27" t="str">
        <f>Scheids!$F$17</f>
        <v>Joost Los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Titus J2</v>
      </c>
      <c r="F28" s="23"/>
      <c r="G28" s="21"/>
      <c r="H28" s="23" t="str">
        <f>$A$48</f>
        <v>Waterhof J3</v>
      </c>
      <c r="I28" s="24"/>
      <c r="J28" s="20"/>
      <c r="K28" s="25" t="s">
        <v>326</v>
      </c>
      <c r="L28" s="26"/>
      <c r="M28" s="27" t="str">
        <f>Scheids!$F$17</f>
        <v>Joost Los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J4</v>
      </c>
      <c r="F29" s="23"/>
      <c r="G29" s="21" t="s">
        <v>326</v>
      </c>
      <c r="H29" s="23" t="str">
        <f>$A$41</f>
        <v>Eglantier-V J1</v>
      </c>
      <c r="I29" s="24"/>
      <c r="J29" s="20"/>
      <c r="K29" s="25" t="s">
        <v>326</v>
      </c>
      <c r="L29" s="26"/>
      <c r="M29" s="27" t="str">
        <f>Scheids!$D$17</f>
        <v xml:space="preserve">Louis vd Weijde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Widar J3</v>
      </c>
      <c r="F30" s="23"/>
      <c r="G30" s="21" t="s">
        <v>326</v>
      </c>
      <c r="H30" s="23" t="str">
        <f>$A$45</f>
        <v>Springwijs J4</v>
      </c>
      <c r="I30" s="24"/>
      <c r="J30" s="20"/>
      <c r="K30" s="25" t="s">
        <v>326</v>
      </c>
      <c r="L30" s="26"/>
      <c r="M30" s="27" t="str">
        <f>Scheids!$D$17</f>
        <v xml:space="preserve">Louis vd Weijde 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Waterhof J3</v>
      </c>
      <c r="F31" s="23"/>
      <c r="G31" s="21"/>
      <c r="H31" s="23" t="str">
        <f>$A$44</f>
        <v>Maria J4</v>
      </c>
      <c r="I31" s="24"/>
      <c r="J31" s="20"/>
      <c r="K31" s="25" t="s">
        <v>326</v>
      </c>
      <c r="L31" s="26"/>
      <c r="M31" s="27" t="str">
        <f>Scheids!$D$17</f>
        <v xml:space="preserve">Louis vd Weijde 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Gabriël J3</v>
      </c>
      <c r="F32" s="23"/>
      <c r="G32" s="21" t="s">
        <v>326</v>
      </c>
      <c r="H32" s="23" t="str">
        <f>$A$47</f>
        <v>Widar J3</v>
      </c>
      <c r="I32" s="24"/>
      <c r="J32" s="20"/>
      <c r="K32" s="25" t="s">
        <v>326</v>
      </c>
      <c r="L32" s="26"/>
      <c r="M32" s="27" t="str">
        <f>Scheids!$F$17</f>
        <v>Joost Los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Titus J2</v>
      </c>
      <c r="F33" s="23"/>
      <c r="G33" s="21" t="s">
        <v>326</v>
      </c>
      <c r="H33" s="23" t="str">
        <f>$A$46</f>
        <v>Galjoen J4</v>
      </c>
      <c r="I33" s="24"/>
      <c r="J33" s="20"/>
      <c r="K33" s="25" t="s">
        <v>326</v>
      </c>
      <c r="L33" s="26"/>
      <c r="M33" s="27" t="str">
        <f>Scheids!$F$17</f>
        <v>Joost Los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Eglantier-V J1</v>
      </c>
      <c r="F34" s="23"/>
      <c r="G34" s="21" t="s">
        <v>326</v>
      </c>
      <c r="H34" s="23" t="str">
        <f>$A$45</f>
        <v>Springwijs J4</v>
      </c>
      <c r="I34" s="24"/>
      <c r="J34" s="20"/>
      <c r="K34" s="25" t="s">
        <v>326</v>
      </c>
      <c r="L34" s="26"/>
      <c r="M34" s="27" t="str">
        <f>Scheids!$F$17</f>
        <v>Joost Los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Waterhof J3</v>
      </c>
      <c r="F35" s="23"/>
      <c r="G35" s="21"/>
      <c r="H35" s="23" t="str">
        <f>$A$43</f>
        <v>Gabriël J3</v>
      </c>
      <c r="I35" s="24"/>
      <c r="J35" s="20"/>
      <c r="K35" s="25" t="s">
        <v>326</v>
      </c>
      <c r="L35" s="26"/>
      <c r="M35" s="27" t="str">
        <f>Scheids!$D$17</f>
        <v xml:space="preserve">Louis vd Weijde 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Galjoen J4</v>
      </c>
      <c r="F36" s="23"/>
      <c r="G36" s="21" t="s">
        <v>326</v>
      </c>
      <c r="H36" s="23" t="str">
        <f>$A$41</f>
        <v>Eglantier-V J1</v>
      </c>
      <c r="I36" s="24"/>
      <c r="J36" s="20"/>
      <c r="K36" s="25" t="s">
        <v>326</v>
      </c>
      <c r="L36" s="26"/>
      <c r="M36" s="27" t="str">
        <f>Scheids!$D$17</f>
        <v xml:space="preserve">Louis vd Weijde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Springwijs J4</v>
      </c>
      <c r="F37" s="23"/>
      <c r="G37" s="21" t="s">
        <v>326</v>
      </c>
      <c r="H37" s="23" t="str">
        <f>$A$42</f>
        <v>Titus J2</v>
      </c>
      <c r="I37" s="24"/>
      <c r="J37" s="20"/>
      <c r="K37" s="25" t="s">
        <v>326</v>
      </c>
      <c r="L37" s="26"/>
      <c r="M37" s="27" t="str">
        <f>Scheids!$F$17</f>
        <v>Joost Los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Widar J3</v>
      </c>
      <c r="F38" s="34"/>
      <c r="G38" s="32" t="s">
        <v>326</v>
      </c>
      <c r="H38" s="34" t="str">
        <f>$A$44</f>
        <v>Maria J4</v>
      </c>
      <c r="I38" s="35"/>
      <c r="J38" s="31"/>
      <c r="K38" s="36" t="s">
        <v>326</v>
      </c>
      <c r="L38" s="37"/>
      <c r="M38" s="121" t="str">
        <f>Scheids!$F$17</f>
        <v>Joost Los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Scholen!$F$24</f>
        <v>Eglantier-V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Scholen!$F$25</f>
        <v>Titus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Scholen!$F$26</f>
        <v>Gabriël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Scholen!$F$27</f>
        <v>Maria J4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Scholen!$F$28</f>
        <v>Springwijs J4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Scholen!$F$29</f>
        <v>Galjoen J4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IF(Scholen!$F$30&lt;&gt;"",Scholen!$F$30,"")</f>
        <v>Widar J3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IF(Scholen!$F$31&lt;&gt;"",Scholen!$F$31,"")</f>
        <v>Waterhof J3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5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Scholen!$H$22</f>
        <v>Jongens</v>
      </c>
      <c r="F8" s="175"/>
      <c r="G8" s="175"/>
      <c r="H8" s="176" t="s">
        <v>1</v>
      </c>
      <c r="I8" s="177" t="s">
        <v>84</v>
      </c>
      <c r="J8" s="175" t="s">
        <v>11</v>
      </c>
      <c r="K8" s="228">
        <f>Scholen!$I$21</f>
        <v>13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DSV J2</v>
      </c>
      <c r="F11" s="91"/>
      <c r="G11" s="89" t="s">
        <v>326</v>
      </c>
      <c r="H11" s="91" t="str">
        <f>$A$42</f>
        <v>Mozaïek J2</v>
      </c>
      <c r="I11" s="15"/>
      <c r="J11" s="14"/>
      <c r="K11" s="92" t="s">
        <v>326</v>
      </c>
      <c r="L11" s="16"/>
      <c r="M11" s="17" t="str">
        <f>Scheids!$D$18</f>
        <v>Marcel de Letter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Horizon J3</v>
      </c>
      <c r="F12" s="23"/>
      <c r="G12" s="21" t="s">
        <v>326</v>
      </c>
      <c r="H12" s="23" t="str">
        <f>$A$44</f>
        <v>Talent J3</v>
      </c>
      <c r="I12" s="24"/>
      <c r="J12" s="20"/>
      <c r="K12" s="25" t="s">
        <v>326</v>
      </c>
      <c r="L12" s="26"/>
      <c r="M12" s="27" t="str">
        <f>Scheids!$D$18</f>
        <v>Marcel de Letter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Maria J5</v>
      </c>
      <c r="F13" s="23"/>
      <c r="G13" s="21" t="s">
        <v>326</v>
      </c>
      <c r="H13" s="23" t="str">
        <f>$A$46</f>
        <v>Springwijs J5</v>
      </c>
      <c r="I13" s="24"/>
      <c r="J13" s="20"/>
      <c r="K13" s="25" t="s">
        <v>326</v>
      </c>
      <c r="L13" s="26"/>
      <c r="M13" s="27" t="str">
        <f>Scheids!$D$18</f>
        <v>Marcel de Letter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Galjoen J5</v>
      </c>
      <c r="F14" s="23"/>
      <c r="G14" s="21"/>
      <c r="H14" s="23" t="str">
        <f>$A$48</f>
        <v>Widar J4</v>
      </c>
      <c r="I14" s="24"/>
      <c r="J14" s="20"/>
      <c r="K14" s="25" t="s">
        <v>326</v>
      </c>
      <c r="L14" s="26"/>
      <c r="M14" s="27" t="str">
        <f>Scheids!$F$18</f>
        <v>John Kortekaas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Mozaïek J2</v>
      </c>
      <c r="F15" s="23"/>
      <c r="G15" s="21" t="s">
        <v>326</v>
      </c>
      <c r="H15" s="23" t="str">
        <f>$A$43</f>
        <v>Horizon J3</v>
      </c>
      <c r="I15" s="24"/>
      <c r="J15" s="20"/>
      <c r="K15" s="25" t="s">
        <v>326</v>
      </c>
      <c r="L15" s="26"/>
      <c r="M15" s="27" t="str">
        <f>Scheids!$F$18</f>
        <v>John Kortekaas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Talent J3</v>
      </c>
      <c r="F16" s="23"/>
      <c r="G16" s="21" t="s">
        <v>326</v>
      </c>
      <c r="H16" s="23" t="str">
        <f>$A$45</f>
        <v>Maria J5</v>
      </c>
      <c r="I16" s="24"/>
      <c r="J16" s="20"/>
      <c r="K16" s="25" t="s">
        <v>326</v>
      </c>
      <c r="L16" s="26"/>
      <c r="M16" s="27" t="str">
        <f>Scheids!$F$18</f>
        <v>John Kortekaas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Springwijs J5</v>
      </c>
      <c r="F17" s="23"/>
      <c r="G17" s="21" t="s">
        <v>326</v>
      </c>
      <c r="H17" s="23" t="str">
        <f>$A$47</f>
        <v>Galjoen J5</v>
      </c>
      <c r="I17" s="24"/>
      <c r="J17" s="20"/>
      <c r="K17" s="25" t="s">
        <v>326</v>
      </c>
      <c r="L17" s="26"/>
      <c r="M17" s="27" t="str">
        <f>Scheids!$D$18</f>
        <v>Marcel de Letter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Widar J4</v>
      </c>
      <c r="F18" s="23"/>
      <c r="G18" s="21"/>
      <c r="H18" s="23" t="str">
        <f>$A$41</f>
        <v>DSV J2</v>
      </c>
      <c r="I18" s="24"/>
      <c r="J18" s="20"/>
      <c r="K18" s="25" t="s">
        <v>326</v>
      </c>
      <c r="L18" s="26"/>
      <c r="M18" s="27" t="str">
        <f>Scheids!$D$18</f>
        <v>Marcel de Letter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Talent J3</v>
      </c>
      <c r="F19" s="23"/>
      <c r="G19" s="21" t="s">
        <v>326</v>
      </c>
      <c r="H19" s="23" t="str">
        <f>$A$42</f>
        <v>Mozaïek J2</v>
      </c>
      <c r="I19" s="24"/>
      <c r="J19" s="20"/>
      <c r="K19" s="25" t="s">
        <v>326</v>
      </c>
      <c r="L19" s="26"/>
      <c r="M19" s="27" t="str">
        <f>Scheids!$D$18</f>
        <v>Marcel de Letter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Horizon J3</v>
      </c>
      <c r="F20" s="23"/>
      <c r="G20" s="21" t="s">
        <v>326</v>
      </c>
      <c r="H20" s="23" t="str">
        <f>$A$45</f>
        <v>Maria J5</v>
      </c>
      <c r="I20" s="24"/>
      <c r="J20" s="20"/>
      <c r="K20" s="25" t="s">
        <v>326</v>
      </c>
      <c r="L20" s="26"/>
      <c r="M20" s="27" t="str">
        <f>Scheids!$F$18</f>
        <v>John Kortekaas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DSV J2</v>
      </c>
      <c r="F21" s="23"/>
      <c r="G21" s="21" t="s">
        <v>326</v>
      </c>
      <c r="H21" s="23" t="str">
        <f>$A$47</f>
        <v>Galjoen J5</v>
      </c>
      <c r="I21" s="24"/>
      <c r="J21" s="20"/>
      <c r="K21" s="25" t="s">
        <v>326</v>
      </c>
      <c r="L21" s="26"/>
      <c r="M21" s="27" t="str">
        <f>Scheids!$F$18</f>
        <v>John Kortekaas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Springwijs J5</v>
      </c>
      <c r="F22" s="23"/>
      <c r="G22" s="21"/>
      <c r="H22" s="23" t="str">
        <f>$A$48</f>
        <v>Widar J4</v>
      </c>
      <c r="I22" s="24"/>
      <c r="J22" s="20"/>
      <c r="K22" s="25" t="s">
        <v>326</v>
      </c>
      <c r="L22" s="26"/>
      <c r="M22" s="27" t="str">
        <f>Scheids!$F$18</f>
        <v>John Kortekaas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DSV J2</v>
      </c>
      <c r="F23" s="23"/>
      <c r="G23" s="21" t="s">
        <v>326</v>
      </c>
      <c r="H23" s="23" t="str">
        <f>$A$43</f>
        <v>Horizon J3</v>
      </c>
      <c r="I23" s="24"/>
      <c r="J23" s="20"/>
      <c r="K23" s="25" t="s">
        <v>326</v>
      </c>
      <c r="L23" s="26"/>
      <c r="M23" s="27" t="str">
        <f>Scheids!$D$18</f>
        <v>Marcel de Letter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Springwijs J5</v>
      </c>
      <c r="F24" s="23"/>
      <c r="G24" s="21" t="s">
        <v>326</v>
      </c>
      <c r="H24" s="23" t="str">
        <f>$A$44</f>
        <v>Talent J3</v>
      </c>
      <c r="I24" s="24"/>
      <c r="J24" s="20"/>
      <c r="K24" s="25" t="s">
        <v>326</v>
      </c>
      <c r="L24" s="26"/>
      <c r="M24" s="27" t="str">
        <f>Scheids!$D$18</f>
        <v>Marcel de Letter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Mozaïek J2</v>
      </c>
      <c r="F25" s="23"/>
      <c r="G25" s="21" t="s">
        <v>326</v>
      </c>
      <c r="H25" s="23" t="str">
        <f>$A$47</f>
        <v>Galjoen J5</v>
      </c>
      <c r="I25" s="24"/>
      <c r="J25" s="20"/>
      <c r="K25" s="25" t="s">
        <v>326</v>
      </c>
      <c r="L25" s="26"/>
      <c r="M25" s="27" t="str">
        <f>Scheids!$D$18</f>
        <v>Marcel de Letter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Maria J5</v>
      </c>
      <c r="F26" s="23"/>
      <c r="G26" s="21"/>
      <c r="H26" s="23" t="str">
        <f>$A$48</f>
        <v>Widar J4</v>
      </c>
      <c r="I26" s="24"/>
      <c r="J26" s="20"/>
      <c r="K26" s="25" t="s">
        <v>326</v>
      </c>
      <c r="L26" s="26"/>
      <c r="M26" s="27" t="str">
        <f>Scheids!$F$18</f>
        <v>John Kortekaas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Horizon J3</v>
      </c>
      <c r="F27" s="23"/>
      <c r="G27" s="21" t="s">
        <v>326</v>
      </c>
      <c r="H27" s="23" t="str">
        <f>$A$46</f>
        <v>Springwijs J5</v>
      </c>
      <c r="I27" s="24"/>
      <c r="J27" s="20"/>
      <c r="K27" s="25" t="s">
        <v>326</v>
      </c>
      <c r="L27" s="26"/>
      <c r="M27" s="27" t="str">
        <f>Scheids!$F$18</f>
        <v>John Kortekaas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Mozaïek J2</v>
      </c>
      <c r="F28" s="23"/>
      <c r="G28" s="21"/>
      <c r="H28" s="23" t="str">
        <f>$A$48</f>
        <v>Widar J4</v>
      </c>
      <c r="I28" s="24"/>
      <c r="J28" s="20"/>
      <c r="K28" s="25" t="s">
        <v>326</v>
      </c>
      <c r="L28" s="26"/>
      <c r="M28" s="27" t="str">
        <f>Scheids!$F$18</f>
        <v>John Kortekaas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Talent J3</v>
      </c>
      <c r="F29" s="23"/>
      <c r="G29" s="21" t="s">
        <v>326</v>
      </c>
      <c r="H29" s="23" t="str">
        <f>$A$41</f>
        <v>DSV J2</v>
      </c>
      <c r="I29" s="24"/>
      <c r="J29" s="20"/>
      <c r="K29" s="25" t="s">
        <v>326</v>
      </c>
      <c r="L29" s="26"/>
      <c r="M29" s="27" t="str">
        <f>Scheids!$D$18</f>
        <v>Marcel de Letter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Galjoen J5</v>
      </c>
      <c r="F30" s="23"/>
      <c r="G30" s="21" t="s">
        <v>326</v>
      </c>
      <c r="H30" s="23" t="str">
        <f>$A$45</f>
        <v>Maria J5</v>
      </c>
      <c r="I30" s="24"/>
      <c r="J30" s="20"/>
      <c r="K30" s="25" t="s">
        <v>326</v>
      </c>
      <c r="L30" s="26"/>
      <c r="M30" s="27" t="str">
        <f>Scheids!$D$18</f>
        <v>Marcel de Letter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Widar J4</v>
      </c>
      <c r="F31" s="23"/>
      <c r="G31" s="21"/>
      <c r="H31" s="23" t="str">
        <f>$A$44</f>
        <v>Talent J3</v>
      </c>
      <c r="I31" s="24"/>
      <c r="J31" s="20"/>
      <c r="K31" s="25" t="s">
        <v>326</v>
      </c>
      <c r="L31" s="26"/>
      <c r="M31" s="27" t="str">
        <f>Scheids!$D$18</f>
        <v>Marcel de Letter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Horizon J3</v>
      </c>
      <c r="F32" s="23"/>
      <c r="G32" s="21" t="s">
        <v>326</v>
      </c>
      <c r="H32" s="23" t="str">
        <f>$A$47</f>
        <v>Galjoen J5</v>
      </c>
      <c r="I32" s="24"/>
      <c r="J32" s="20"/>
      <c r="K32" s="25" t="s">
        <v>326</v>
      </c>
      <c r="L32" s="26"/>
      <c r="M32" s="27" t="str">
        <f>Scheids!$F$18</f>
        <v>John Kortekaas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Mozaïek J2</v>
      </c>
      <c r="F33" s="23"/>
      <c r="G33" s="21" t="s">
        <v>326</v>
      </c>
      <c r="H33" s="23" t="str">
        <f>$A$46</f>
        <v>Springwijs J5</v>
      </c>
      <c r="I33" s="24"/>
      <c r="J33" s="20"/>
      <c r="K33" s="25" t="s">
        <v>326</v>
      </c>
      <c r="L33" s="26"/>
      <c r="M33" s="27" t="str">
        <f>Scheids!$F$18</f>
        <v>John Kortekaas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DSV J2</v>
      </c>
      <c r="F34" s="23"/>
      <c r="G34" s="21" t="s">
        <v>326</v>
      </c>
      <c r="H34" s="23" t="str">
        <f>$A$45</f>
        <v>Maria J5</v>
      </c>
      <c r="I34" s="24"/>
      <c r="J34" s="20"/>
      <c r="K34" s="25" t="s">
        <v>326</v>
      </c>
      <c r="L34" s="26"/>
      <c r="M34" s="27" t="str">
        <f>Scheids!$F$18</f>
        <v>John Kortekaas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Widar J4</v>
      </c>
      <c r="F35" s="23"/>
      <c r="G35" s="21"/>
      <c r="H35" s="23" t="str">
        <f>$A$43</f>
        <v>Horizon J3</v>
      </c>
      <c r="I35" s="24"/>
      <c r="J35" s="20"/>
      <c r="K35" s="25" t="s">
        <v>326</v>
      </c>
      <c r="L35" s="26"/>
      <c r="M35" s="27" t="str">
        <f>Scheids!$D$18</f>
        <v>Marcel de Letter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Springwijs J5</v>
      </c>
      <c r="F36" s="23"/>
      <c r="G36" s="21" t="s">
        <v>326</v>
      </c>
      <c r="H36" s="23" t="str">
        <f>$A$41</f>
        <v>DSV J2</v>
      </c>
      <c r="I36" s="24"/>
      <c r="J36" s="20"/>
      <c r="K36" s="25" t="s">
        <v>326</v>
      </c>
      <c r="L36" s="26"/>
      <c r="M36" s="27" t="str">
        <f>Scheids!$D$18</f>
        <v>Marcel de Letter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Maria J5</v>
      </c>
      <c r="F37" s="23"/>
      <c r="G37" s="21" t="s">
        <v>326</v>
      </c>
      <c r="H37" s="23" t="str">
        <f>$A$42</f>
        <v>Mozaïek J2</v>
      </c>
      <c r="I37" s="24"/>
      <c r="J37" s="20"/>
      <c r="K37" s="25" t="s">
        <v>326</v>
      </c>
      <c r="L37" s="26"/>
      <c r="M37" s="27" t="str">
        <f>Scheids!$F$18</f>
        <v>John Kortekaas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Galjoen J5</v>
      </c>
      <c r="F38" s="34"/>
      <c r="G38" s="32" t="s">
        <v>326</v>
      </c>
      <c r="H38" s="34" t="str">
        <f>$A$44</f>
        <v>Talent J3</v>
      </c>
      <c r="I38" s="35"/>
      <c r="J38" s="31"/>
      <c r="K38" s="36" t="s">
        <v>326</v>
      </c>
      <c r="L38" s="37"/>
      <c r="M38" s="121" t="str">
        <f>Scheids!$F$18</f>
        <v>John Kortekaas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Scholen!$H$24</f>
        <v>DSV J2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Scholen!$H$25</f>
        <v>Mozaïek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Scholen!$H$26</f>
        <v>Horizon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7" t="str">
        <f>Scholen!$H$27</f>
        <v>Talent J3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Scholen!$H$28</f>
        <v>Maria J5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Scholen!$H$29</f>
        <v>Springwijs J5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IF(Scholen!$H$30&lt;&gt;"",Scholen!$H$30,"")</f>
        <v>Galjoen J5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IF(Scholen!$H$31&lt;&gt;"",Scholen!$H$31,"")</f>
        <v>Widar J4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6"/>
  <dimension ref="A1:X48"/>
  <sheetViews>
    <sheetView topLeftCell="A17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Scholen!$J$22</f>
        <v>Jongens</v>
      </c>
      <c r="F8" s="175"/>
      <c r="G8" s="175"/>
      <c r="H8" s="176" t="s">
        <v>1</v>
      </c>
      <c r="I8" s="177" t="s">
        <v>85</v>
      </c>
      <c r="J8" s="175" t="s">
        <v>11</v>
      </c>
      <c r="K8" s="228">
        <f>Scholen!$K$21</f>
        <v>14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Laurentius J1</v>
      </c>
      <c r="F11" s="91"/>
      <c r="G11" s="89" t="s">
        <v>326</v>
      </c>
      <c r="H11" s="91" t="str">
        <f>$A$42</f>
        <v>Eglantier-V J2</v>
      </c>
      <c r="I11" s="15"/>
      <c r="J11" s="14"/>
      <c r="K11" s="92" t="s">
        <v>326</v>
      </c>
      <c r="L11" s="16"/>
      <c r="M11" s="17" t="str">
        <f>Scheids!$D$19</f>
        <v xml:space="preserve">Gert-Jan Schotmeijer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Titus J3</v>
      </c>
      <c r="F12" s="23"/>
      <c r="G12" s="21" t="s">
        <v>326</v>
      </c>
      <c r="H12" s="23" t="str">
        <f>$A$44</f>
        <v>Gabriël J4</v>
      </c>
      <c r="I12" s="24"/>
      <c r="J12" s="20"/>
      <c r="K12" s="25" t="s">
        <v>326</v>
      </c>
      <c r="L12" s="26"/>
      <c r="M12" s="27" t="str">
        <f>Scheids!$D$19</f>
        <v xml:space="preserve">Gert-Jan Schotmeijer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Galjoen J6</v>
      </c>
      <c r="F13" s="23"/>
      <c r="G13" s="21" t="s">
        <v>326</v>
      </c>
      <c r="H13" s="23" t="str">
        <f>$A$46</f>
        <v>Maria J6</v>
      </c>
      <c r="I13" s="24"/>
      <c r="J13" s="20"/>
      <c r="K13" s="25" t="s">
        <v>326</v>
      </c>
      <c r="L13" s="26"/>
      <c r="M13" s="27" t="str">
        <f>Scheids!$D$19</f>
        <v xml:space="preserve">Gert-Jan Schotmeijer 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Max J1</v>
      </c>
      <c r="F14" s="23"/>
      <c r="G14" s="21"/>
      <c r="H14" s="23" t="str">
        <f>$A$48</f>
        <v>Oostpoort J1</v>
      </c>
      <c r="I14" s="24"/>
      <c r="J14" s="20"/>
      <c r="K14" s="25" t="s">
        <v>326</v>
      </c>
      <c r="L14" s="26"/>
      <c r="M14" s="27" t="str">
        <f>Scheids!$F$19</f>
        <v>Dion Dingler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Eglantier-V J2</v>
      </c>
      <c r="F15" s="23"/>
      <c r="G15" s="21" t="s">
        <v>326</v>
      </c>
      <c r="H15" s="23" t="str">
        <f>$A$43</f>
        <v>Titus J3</v>
      </c>
      <c r="I15" s="24"/>
      <c r="J15" s="20"/>
      <c r="K15" s="25" t="s">
        <v>326</v>
      </c>
      <c r="L15" s="26"/>
      <c r="M15" s="27" t="str">
        <f>Scheids!$F$19</f>
        <v>Dion Dingler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Gabriël J4</v>
      </c>
      <c r="F16" s="23"/>
      <c r="G16" s="21" t="s">
        <v>326</v>
      </c>
      <c r="H16" s="23" t="str">
        <f>$A$45</f>
        <v>Galjoen J6</v>
      </c>
      <c r="I16" s="24"/>
      <c r="J16" s="20"/>
      <c r="K16" s="25" t="s">
        <v>326</v>
      </c>
      <c r="L16" s="26"/>
      <c r="M16" s="27" t="str">
        <f>Scheids!$F$19</f>
        <v>Dion Dingler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Maria J6</v>
      </c>
      <c r="F17" s="23"/>
      <c r="G17" s="21" t="s">
        <v>326</v>
      </c>
      <c r="H17" s="23" t="str">
        <f>$A$47</f>
        <v>Max J1</v>
      </c>
      <c r="I17" s="24"/>
      <c r="J17" s="20"/>
      <c r="K17" s="25" t="s">
        <v>326</v>
      </c>
      <c r="L17" s="26"/>
      <c r="M17" s="27" t="str">
        <f>Scheids!$D$19</f>
        <v xml:space="preserve">Gert-Jan Schotmeijer 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Oostpoort J1</v>
      </c>
      <c r="F18" s="23"/>
      <c r="G18" s="21"/>
      <c r="H18" s="23" t="str">
        <f>$A$41</f>
        <v>Laurentius J1</v>
      </c>
      <c r="I18" s="24"/>
      <c r="J18" s="20"/>
      <c r="K18" s="25" t="s">
        <v>326</v>
      </c>
      <c r="L18" s="26"/>
      <c r="M18" s="27" t="str">
        <f>Scheids!$D$19</f>
        <v xml:space="preserve">Gert-Jan Schotmeijer 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Gabriël J4</v>
      </c>
      <c r="F19" s="23"/>
      <c r="G19" s="21" t="s">
        <v>326</v>
      </c>
      <c r="H19" s="23" t="str">
        <f>$A$42</f>
        <v>Eglantier-V J2</v>
      </c>
      <c r="I19" s="24"/>
      <c r="J19" s="20"/>
      <c r="K19" s="25" t="s">
        <v>326</v>
      </c>
      <c r="L19" s="26"/>
      <c r="M19" s="27" t="str">
        <f>Scheids!$D$19</f>
        <v xml:space="preserve">Gert-Jan Schotmeijer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Titus J3</v>
      </c>
      <c r="F20" s="23"/>
      <c r="G20" s="21" t="s">
        <v>326</v>
      </c>
      <c r="H20" s="23" t="str">
        <f>$A$45</f>
        <v>Galjoen J6</v>
      </c>
      <c r="I20" s="24"/>
      <c r="J20" s="20"/>
      <c r="K20" s="25" t="s">
        <v>326</v>
      </c>
      <c r="L20" s="26"/>
      <c r="M20" s="27" t="str">
        <f>Scheids!$F$19</f>
        <v>Dion Dingler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Laurentius J1</v>
      </c>
      <c r="F21" s="23"/>
      <c r="G21" s="21" t="s">
        <v>326</v>
      </c>
      <c r="H21" s="23" t="str">
        <f>$A$47</f>
        <v>Max J1</v>
      </c>
      <c r="I21" s="24"/>
      <c r="J21" s="20"/>
      <c r="K21" s="25" t="s">
        <v>326</v>
      </c>
      <c r="L21" s="26"/>
      <c r="M21" s="27" t="str">
        <f>Scheids!$F$19</f>
        <v>Dion Dingler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Maria J6</v>
      </c>
      <c r="F22" s="23"/>
      <c r="G22" s="21"/>
      <c r="H22" s="23" t="str">
        <f>$A$48</f>
        <v>Oostpoort J1</v>
      </c>
      <c r="I22" s="24"/>
      <c r="J22" s="20"/>
      <c r="K22" s="25" t="s">
        <v>326</v>
      </c>
      <c r="L22" s="26"/>
      <c r="M22" s="27" t="str">
        <f>Scheids!$F$19</f>
        <v>Dion Dingler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Laurentius J1</v>
      </c>
      <c r="F23" s="23"/>
      <c r="G23" s="21" t="s">
        <v>326</v>
      </c>
      <c r="H23" s="23" t="str">
        <f>$A$43</f>
        <v>Titus J3</v>
      </c>
      <c r="I23" s="24"/>
      <c r="J23" s="20"/>
      <c r="K23" s="25" t="s">
        <v>326</v>
      </c>
      <c r="L23" s="26"/>
      <c r="M23" s="27" t="str">
        <f>Scheids!$D$19</f>
        <v xml:space="preserve">Gert-Jan Schotmeijer 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Maria J6</v>
      </c>
      <c r="F24" s="23"/>
      <c r="G24" s="21" t="s">
        <v>326</v>
      </c>
      <c r="H24" s="23" t="str">
        <f>$A$44</f>
        <v>Gabriël J4</v>
      </c>
      <c r="I24" s="24"/>
      <c r="J24" s="20"/>
      <c r="K24" s="25" t="s">
        <v>326</v>
      </c>
      <c r="L24" s="26"/>
      <c r="M24" s="27" t="str">
        <f>Scheids!$D$19</f>
        <v xml:space="preserve">Gert-Jan Schotmeijer 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Eglantier-V J2</v>
      </c>
      <c r="F25" s="23"/>
      <c r="G25" s="21" t="s">
        <v>326</v>
      </c>
      <c r="H25" s="23" t="str">
        <f>$A$47</f>
        <v>Max J1</v>
      </c>
      <c r="I25" s="24"/>
      <c r="J25" s="20"/>
      <c r="K25" s="25" t="s">
        <v>326</v>
      </c>
      <c r="L25" s="26"/>
      <c r="M25" s="27" t="str">
        <f>Scheids!$D$19</f>
        <v xml:space="preserve">Gert-Jan Schotmeijer 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Galjoen J6</v>
      </c>
      <c r="F26" s="23"/>
      <c r="G26" s="21"/>
      <c r="H26" s="23" t="str">
        <f>$A$48</f>
        <v>Oostpoort J1</v>
      </c>
      <c r="I26" s="24"/>
      <c r="J26" s="20"/>
      <c r="K26" s="25" t="s">
        <v>326</v>
      </c>
      <c r="L26" s="26"/>
      <c r="M26" s="27" t="str">
        <f>Scheids!$F$19</f>
        <v>Dion Dingler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Titus J3</v>
      </c>
      <c r="F27" s="23"/>
      <c r="G27" s="21" t="s">
        <v>326</v>
      </c>
      <c r="H27" s="23" t="str">
        <f>$A$46</f>
        <v>Maria J6</v>
      </c>
      <c r="I27" s="24"/>
      <c r="J27" s="20"/>
      <c r="K27" s="25" t="s">
        <v>326</v>
      </c>
      <c r="L27" s="26"/>
      <c r="M27" s="27" t="str">
        <f>Scheids!$F$19</f>
        <v>Dion Dingler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Eglantier-V J2</v>
      </c>
      <c r="F28" s="23"/>
      <c r="G28" s="21"/>
      <c r="H28" s="23" t="str">
        <f>$A$48</f>
        <v>Oostpoort J1</v>
      </c>
      <c r="I28" s="24"/>
      <c r="J28" s="20"/>
      <c r="K28" s="25" t="s">
        <v>326</v>
      </c>
      <c r="L28" s="26"/>
      <c r="M28" s="27" t="str">
        <f>Scheids!$F$19</f>
        <v>Dion Dingler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Gabriël J4</v>
      </c>
      <c r="F29" s="23"/>
      <c r="G29" s="21" t="s">
        <v>326</v>
      </c>
      <c r="H29" s="23" t="str">
        <f>$A$41</f>
        <v>Laurentius J1</v>
      </c>
      <c r="I29" s="24"/>
      <c r="J29" s="20"/>
      <c r="K29" s="25" t="s">
        <v>326</v>
      </c>
      <c r="L29" s="26"/>
      <c r="M29" s="27" t="str">
        <f>Scheids!$D$19</f>
        <v xml:space="preserve">Gert-Jan Schotmeijer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Max J1</v>
      </c>
      <c r="F30" s="23"/>
      <c r="G30" s="21" t="s">
        <v>326</v>
      </c>
      <c r="H30" s="23" t="str">
        <f>$A$45</f>
        <v>Galjoen J6</v>
      </c>
      <c r="I30" s="24"/>
      <c r="J30" s="20"/>
      <c r="K30" s="25" t="s">
        <v>326</v>
      </c>
      <c r="L30" s="26"/>
      <c r="M30" s="27" t="str">
        <f>Scheids!$D$19</f>
        <v xml:space="preserve">Gert-Jan Schotmeijer 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Oostpoort J1</v>
      </c>
      <c r="F31" s="23"/>
      <c r="G31" s="21"/>
      <c r="H31" s="23" t="str">
        <f>$A$44</f>
        <v>Gabriël J4</v>
      </c>
      <c r="I31" s="24"/>
      <c r="J31" s="20"/>
      <c r="K31" s="25" t="s">
        <v>326</v>
      </c>
      <c r="L31" s="26"/>
      <c r="M31" s="27" t="str">
        <f>Scheids!$D$19</f>
        <v xml:space="preserve">Gert-Jan Schotmeijer 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Titus J3</v>
      </c>
      <c r="F32" s="23"/>
      <c r="G32" s="21" t="s">
        <v>326</v>
      </c>
      <c r="H32" s="23" t="str">
        <f>$A$47</f>
        <v>Max J1</v>
      </c>
      <c r="I32" s="24"/>
      <c r="J32" s="20"/>
      <c r="K32" s="25" t="s">
        <v>326</v>
      </c>
      <c r="L32" s="26"/>
      <c r="M32" s="27" t="str">
        <f>Scheids!$F$19</f>
        <v>Dion Dingler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Eglantier-V J2</v>
      </c>
      <c r="F33" s="23"/>
      <c r="G33" s="21" t="s">
        <v>326</v>
      </c>
      <c r="H33" s="23" t="str">
        <f>$A$46</f>
        <v>Maria J6</v>
      </c>
      <c r="I33" s="24"/>
      <c r="J33" s="20"/>
      <c r="K33" s="25" t="s">
        <v>326</v>
      </c>
      <c r="L33" s="26"/>
      <c r="M33" s="27" t="str">
        <f>Scheids!$F$19</f>
        <v>Dion Dingler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Laurentius J1</v>
      </c>
      <c r="F34" s="23"/>
      <c r="G34" s="21" t="s">
        <v>326</v>
      </c>
      <c r="H34" s="23" t="str">
        <f>$A$45</f>
        <v>Galjoen J6</v>
      </c>
      <c r="I34" s="24"/>
      <c r="J34" s="20"/>
      <c r="K34" s="25" t="s">
        <v>326</v>
      </c>
      <c r="L34" s="26"/>
      <c r="M34" s="27" t="str">
        <f>Scheids!$F$19</f>
        <v>Dion Dingler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Oostpoort J1</v>
      </c>
      <c r="F35" s="23"/>
      <c r="G35" s="21"/>
      <c r="H35" s="23" t="str">
        <f>$A$43</f>
        <v>Titus J3</v>
      </c>
      <c r="I35" s="24"/>
      <c r="J35" s="20"/>
      <c r="K35" s="25" t="s">
        <v>326</v>
      </c>
      <c r="L35" s="26"/>
      <c r="M35" s="27" t="str">
        <f>Scheids!$D$19</f>
        <v xml:space="preserve">Gert-Jan Schotmeijer 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Maria J6</v>
      </c>
      <c r="F36" s="23"/>
      <c r="G36" s="21" t="s">
        <v>326</v>
      </c>
      <c r="H36" s="23" t="str">
        <f>$A$41</f>
        <v>Laurentius J1</v>
      </c>
      <c r="I36" s="24"/>
      <c r="J36" s="20"/>
      <c r="K36" s="25" t="s">
        <v>326</v>
      </c>
      <c r="L36" s="26"/>
      <c r="M36" s="27" t="str">
        <f>Scheids!$D$19</f>
        <v xml:space="preserve">Gert-Jan Schotmeijer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Galjoen J6</v>
      </c>
      <c r="F37" s="23"/>
      <c r="G37" s="21" t="s">
        <v>326</v>
      </c>
      <c r="H37" s="23" t="str">
        <f>$A$42</f>
        <v>Eglantier-V J2</v>
      </c>
      <c r="I37" s="24"/>
      <c r="J37" s="20"/>
      <c r="K37" s="25" t="s">
        <v>326</v>
      </c>
      <c r="L37" s="26"/>
      <c r="M37" s="27" t="str">
        <f>Scheids!$F$19</f>
        <v>Dion Dingler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Max J1</v>
      </c>
      <c r="F38" s="34"/>
      <c r="G38" s="32" t="s">
        <v>326</v>
      </c>
      <c r="H38" s="34" t="str">
        <f>$A$44</f>
        <v>Gabriël J4</v>
      </c>
      <c r="I38" s="35"/>
      <c r="J38" s="31"/>
      <c r="K38" s="36" t="s">
        <v>326</v>
      </c>
      <c r="L38" s="37"/>
      <c r="M38" s="121" t="str">
        <f>Scheids!$F$19</f>
        <v>Dion Dingler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Scholen!$J$24</f>
        <v>Laurentius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Scholen!$J$25</f>
        <v>Eglantier-V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Scholen!$J$26</f>
        <v>Titus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Scholen!$J$27</f>
        <v>Gabriël J4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Scholen!$J$28</f>
        <v>Galjoen J6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Scholen!$J$29</f>
        <v>Maria J6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IF(Scholen!$J$30&lt;&gt;"",Scholen!$J$30,"")</f>
        <v>Max J1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IF(Scholen!$J$31&lt;&gt;"",Scholen!$J$31,"")</f>
        <v>Oostpoort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7"/>
  <dimension ref="A1:X48"/>
  <sheetViews>
    <sheetView topLeftCell="A8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Scholen!$L$22</f>
        <v>Jongens</v>
      </c>
      <c r="F8" s="175"/>
      <c r="G8" s="175"/>
      <c r="H8" s="176" t="s">
        <v>1</v>
      </c>
      <c r="I8" s="177" t="s">
        <v>86</v>
      </c>
      <c r="J8" s="175" t="s">
        <v>11</v>
      </c>
      <c r="K8" s="228">
        <f>Scholen!$M$21</f>
        <v>15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Park J1</v>
      </c>
      <c r="F11" s="91"/>
      <c r="G11" s="89" t="s">
        <v>326</v>
      </c>
      <c r="H11" s="91" t="str">
        <f>$A$42</f>
        <v>BMS J2</v>
      </c>
      <c r="I11" s="15"/>
      <c r="J11" s="14"/>
      <c r="K11" s="92" t="s">
        <v>326</v>
      </c>
      <c r="L11" s="16"/>
      <c r="M11" s="17" t="str">
        <f>Scheids!$D$20</f>
        <v>Marco de Kok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Maurits J1</v>
      </c>
      <c r="F12" s="23"/>
      <c r="G12" s="21" t="s">
        <v>326</v>
      </c>
      <c r="H12" s="23" t="str">
        <f>$A$44</f>
        <v>Horizon J4</v>
      </c>
      <c r="I12" s="24"/>
      <c r="J12" s="20"/>
      <c r="K12" s="25" t="s">
        <v>326</v>
      </c>
      <c r="L12" s="26"/>
      <c r="M12" s="27" t="str">
        <f>Scheids!$D$20</f>
        <v>Marco de Kok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Talent J4</v>
      </c>
      <c r="F13" s="23"/>
      <c r="G13" s="21" t="s">
        <v>326</v>
      </c>
      <c r="H13" s="23" t="str">
        <f>$A$46</f>
        <v>Springwijs J6</v>
      </c>
      <c r="I13" s="24"/>
      <c r="J13" s="20"/>
      <c r="K13" s="25" t="s">
        <v>326</v>
      </c>
      <c r="L13" s="26"/>
      <c r="M13" s="27" t="str">
        <f>Scheids!$D$20</f>
        <v>Marco de Kok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Maria J7</v>
      </c>
      <c r="F14" s="23"/>
      <c r="G14" s="21"/>
      <c r="H14" s="23" t="str">
        <f>$A$48</f>
        <v>Vermeer J1</v>
      </c>
      <c r="I14" s="24"/>
      <c r="J14" s="20"/>
      <c r="K14" s="25" t="s">
        <v>326</v>
      </c>
      <c r="L14" s="26"/>
      <c r="M14" s="27" t="str">
        <f>Scheids!$F$20</f>
        <v>Micha vd Meulen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BMS J2</v>
      </c>
      <c r="F15" s="23"/>
      <c r="G15" s="21" t="s">
        <v>326</v>
      </c>
      <c r="H15" s="23" t="str">
        <f>$A$43</f>
        <v>Maurits J1</v>
      </c>
      <c r="I15" s="24"/>
      <c r="J15" s="20"/>
      <c r="K15" s="25" t="s">
        <v>326</v>
      </c>
      <c r="L15" s="26"/>
      <c r="M15" s="27" t="str">
        <f>Scheids!$F$20</f>
        <v>Micha vd Meulen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Horizon J4</v>
      </c>
      <c r="F16" s="23"/>
      <c r="G16" s="21" t="s">
        <v>326</v>
      </c>
      <c r="H16" s="23" t="str">
        <f>$A$45</f>
        <v>Talent J4</v>
      </c>
      <c r="I16" s="24"/>
      <c r="J16" s="20"/>
      <c r="K16" s="25" t="s">
        <v>326</v>
      </c>
      <c r="L16" s="26"/>
      <c r="M16" s="27" t="str">
        <f>Scheids!$F$20</f>
        <v>Micha vd Meulen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Springwijs J6</v>
      </c>
      <c r="F17" s="23"/>
      <c r="G17" s="21" t="s">
        <v>326</v>
      </c>
      <c r="H17" s="23" t="str">
        <f>$A$47</f>
        <v>Maria J7</v>
      </c>
      <c r="I17" s="24"/>
      <c r="J17" s="20"/>
      <c r="K17" s="25" t="s">
        <v>326</v>
      </c>
      <c r="L17" s="26"/>
      <c r="M17" s="27" t="str">
        <f>Scheids!$D$20</f>
        <v>Marco de Kok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Vermeer J1</v>
      </c>
      <c r="F18" s="23"/>
      <c r="G18" s="21"/>
      <c r="H18" s="23" t="str">
        <f>$A$41</f>
        <v>Park J1</v>
      </c>
      <c r="I18" s="24"/>
      <c r="J18" s="20"/>
      <c r="K18" s="25" t="s">
        <v>326</v>
      </c>
      <c r="L18" s="26"/>
      <c r="M18" s="27" t="str">
        <f>Scheids!$D$20</f>
        <v>Marco de Kok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Horizon J4</v>
      </c>
      <c r="F19" s="23"/>
      <c r="G19" s="21" t="s">
        <v>326</v>
      </c>
      <c r="H19" s="23" t="str">
        <f>$A$42</f>
        <v>BMS J2</v>
      </c>
      <c r="I19" s="24"/>
      <c r="J19" s="20"/>
      <c r="K19" s="25" t="s">
        <v>326</v>
      </c>
      <c r="L19" s="26"/>
      <c r="M19" s="27" t="str">
        <f>Scheids!$D$20</f>
        <v>Marco de Kok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Maurits J1</v>
      </c>
      <c r="F20" s="23"/>
      <c r="G20" s="21" t="s">
        <v>326</v>
      </c>
      <c r="H20" s="23" t="str">
        <f>$A$45</f>
        <v>Talent J4</v>
      </c>
      <c r="I20" s="24"/>
      <c r="J20" s="20"/>
      <c r="K20" s="25" t="s">
        <v>326</v>
      </c>
      <c r="L20" s="26"/>
      <c r="M20" s="27" t="str">
        <f>Scheids!$F$20</f>
        <v>Micha vd Meulen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Park J1</v>
      </c>
      <c r="F21" s="23"/>
      <c r="G21" s="21" t="s">
        <v>326</v>
      </c>
      <c r="H21" s="23" t="str">
        <f>$A$47</f>
        <v>Maria J7</v>
      </c>
      <c r="I21" s="24"/>
      <c r="J21" s="20"/>
      <c r="K21" s="25" t="s">
        <v>326</v>
      </c>
      <c r="L21" s="26"/>
      <c r="M21" s="27" t="str">
        <f>Scheids!$F$20</f>
        <v>Micha vd Meulen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Springwijs J6</v>
      </c>
      <c r="F22" s="23"/>
      <c r="G22" s="21"/>
      <c r="H22" s="23" t="str">
        <f>$A$48</f>
        <v>Vermeer J1</v>
      </c>
      <c r="I22" s="24"/>
      <c r="J22" s="20"/>
      <c r="K22" s="25" t="s">
        <v>326</v>
      </c>
      <c r="L22" s="26"/>
      <c r="M22" s="27" t="str">
        <f>Scheids!$F$20</f>
        <v>Micha vd Meulen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Park J1</v>
      </c>
      <c r="F23" s="23"/>
      <c r="G23" s="21" t="s">
        <v>326</v>
      </c>
      <c r="H23" s="23" t="str">
        <f>$A$43</f>
        <v>Maurits J1</v>
      </c>
      <c r="I23" s="24"/>
      <c r="J23" s="20"/>
      <c r="K23" s="25" t="s">
        <v>326</v>
      </c>
      <c r="L23" s="26"/>
      <c r="M23" s="27" t="str">
        <f>Scheids!$D$20</f>
        <v>Marco de Kok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Springwijs J6</v>
      </c>
      <c r="F24" s="23"/>
      <c r="G24" s="21" t="s">
        <v>326</v>
      </c>
      <c r="H24" s="23" t="str">
        <f>$A$44</f>
        <v>Horizon J4</v>
      </c>
      <c r="I24" s="24"/>
      <c r="J24" s="20"/>
      <c r="K24" s="25" t="s">
        <v>326</v>
      </c>
      <c r="L24" s="26"/>
      <c r="M24" s="27" t="str">
        <f>Scheids!$D$20</f>
        <v>Marco de Kok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BMS J2</v>
      </c>
      <c r="F25" s="23"/>
      <c r="G25" s="21" t="s">
        <v>326</v>
      </c>
      <c r="H25" s="23" t="str">
        <f>$A$47</f>
        <v>Maria J7</v>
      </c>
      <c r="I25" s="24"/>
      <c r="J25" s="20"/>
      <c r="K25" s="25" t="s">
        <v>326</v>
      </c>
      <c r="L25" s="26"/>
      <c r="M25" s="27" t="str">
        <f>Scheids!$D$20</f>
        <v>Marco de Kok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Talent J4</v>
      </c>
      <c r="F26" s="23"/>
      <c r="G26" s="21"/>
      <c r="H26" s="23" t="str">
        <f>$A$48</f>
        <v>Vermeer J1</v>
      </c>
      <c r="I26" s="24"/>
      <c r="J26" s="20"/>
      <c r="K26" s="25" t="s">
        <v>326</v>
      </c>
      <c r="L26" s="26"/>
      <c r="M26" s="27" t="str">
        <f>Scheids!$F$20</f>
        <v>Micha vd Meulen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Maurits J1</v>
      </c>
      <c r="F27" s="23"/>
      <c r="G27" s="21" t="s">
        <v>326</v>
      </c>
      <c r="H27" s="23" t="str">
        <f>$A$46</f>
        <v>Springwijs J6</v>
      </c>
      <c r="I27" s="24"/>
      <c r="J27" s="20"/>
      <c r="K27" s="25" t="s">
        <v>326</v>
      </c>
      <c r="L27" s="26"/>
      <c r="M27" s="27" t="str">
        <f>Scheids!$F$20</f>
        <v>Micha vd Meulen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BMS J2</v>
      </c>
      <c r="F28" s="23"/>
      <c r="G28" s="21"/>
      <c r="H28" s="23" t="str">
        <f>$A$48</f>
        <v>Vermeer J1</v>
      </c>
      <c r="I28" s="24"/>
      <c r="J28" s="20"/>
      <c r="K28" s="25" t="s">
        <v>326</v>
      </c>
      <c r="L28" s="26"/>
      <c r="M28" s="27" t="str">
        <f>Scheids!$F$20</f>
        <v>Micha vd Meulen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Horizon J4</v>
      </c>
      <c r="F29" s="23"/>
      <c r="G29" s="21" t="s">
        <v>326</v>
      </c>
      <c r="H29" s="23" t="str">
        <f>$A$41</f>
        <v>Park J1</v>
      </c>
      <c r="I29" s="24"/>
      <c r="J29" s="20"/>
      <c r="K29" s="25" t="s">
        <v>326</v>
      </c>
      <c r="L29" s="26"/>
      <c r="M29" s="27" t="str">
        <f>Scheids!$D$20</f>
        <v>Marco de Kok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23" t="str">
        <f>$A$47</f>
        <v>Maria J7</v>
      </c>
      <c r="F30" s="23"/>
      <c r="G30" s="21" t="s">
        <v>326</v>
      </c>
      <c r="H30" s="23" t="str">
        <f>$A$45</f>
        <v>Talent J4</v>
      </c>
      <c r="I30" s="24"/>
      <c r="J30" s="20"/>
      <c r="K30" s="25" t="s">
        <v>326</v>
      </c>
      <c r="L30" s="26"/>
      <c r="M30" s="27" t="str">
        <f>Scheids!$D$20</f>
        <v>Marco de Kok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Vermeer J1</v>
      </c>
      <c r="F31" s="23"/>
      <c r="G31" s="21"/>
      <c r="H31" s="23" t="str">
        <f>$A$44</f>
        <v>Horizon J4</v>
      </c>
      <c r="I31" s="24"/>
      <c r="J31" s="20"/>
      <c r="K31" s="25" t="s">
        <v>326</v>
      </c>
      <c r="L31" s="26"/>
      <c r="M31" s="27" t="str">
        <f>Scheids!$D$20</f>
        <v>Marco de Kok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Maurits J1</v>
      </c>
      <c r="F32" s="23"/>
      <c r="G32" s="21" t="s">
        <v>326</v>
      </c>
      <c r="H32" s="23" t="str">
        <f>$A$47</f>
        <v>Maria J7</v>
      </c>
      <c r="I32" s="24"/>
      <c r="J32" s="20"/>
      <c r="K32" s="25" t="s">
        <v>326</v>
      </c>
      <c r="L32" s="26"/>
      <c r="M32" s="27" t="str">
        <f>Scheids!$F$20</f>
        <v>Micha vd Meulen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BMS J2</v>
      </c>
      <c r="F33" s="23"/>
      <c r="G33" s="21" t="s">
        <v>326</v>
      </c>
      <c r="H33" s="23" t="str">
        <f>$A$46</f>
        <v>Springwijs J6</v>
      </c>
      <c r="I33" s="24"/>
      <c r="J33" s="20"/>
      <c r="K33" s="25" t="s">
        <v>326</v>
      </c>
      <c r="L33" s="26"/>
      <c r="M33" s="27" t="str">
        <f>Scheids!$F$20</f>
        <v>Micha vd Meulen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Park J1</v>
      </c>
      <c r="F34" s="23"/>
      <c r="G34" s="21" t="s">
        <v>326</v>
      </c>
      <c r="H34" s="23" t="str">
        <f>$A$45</f>
        <v>Talent J4</v>
      </c>
      <c r="I34" s="24"/>
      <c r="J34" s="20"/>
      <c r="K34" s="25" t="s">
        <v>326</v>
      </c>
      <c r="L34" s="26"/>
      <c r="M34" s="27" t="str">
        <f>Scheids!$F$20</f>
        <v>Micha vd Meulen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Vermeer J1</v>
      </c>
      <c r="F35" s="23"/>
      <c r="G35" s="21"/>
      <c r="H35" s="23" t="str">
        <f>$A$43</f>
        <v>Maurits J1</v>
      </c>
      <c r="I35" s="24"/>
      <c r="J35" s="20"/>
      <c r="K35" s="25" t="s">
        <v>326</v>
      </c>
      <c r="L35" s="26"/>
      <c r="M35" s="27" t="str">
        <f>Scheids!$D$20</f>
        <v>Marco de Kok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Springwijs J6</v>
      </c>
      <c r="F36" s="23"/>
      <c r="G36" s="21" t="s">
        <v>326</v>
      </c>
      <c r="H36" s="23" t="str">
        <f>$A$41</f>
        <v>Park J1</v>
      </c>
      <c r="I36" s="24"/>
      <c r="J36" s="20"/>
      <c r="K36" s="25" t="s">
        <v>326</v>
      </c>
      <c r="L36" s="26"/>
      <c r="M36" s="27" t="str">
        <f>Scheids!$D$20</f>
        <v>Marco de Kok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Talent J4</v>
      </c>
      <c r="F37" s="23"/>
      <c r="G37" s="21" t="s">
        <v>326</v>
      </c>
      <c r="H37" s="23" t="str">
        <f>$A$42</f>
        <v>BMS J2</v>
      </c>
      <c r="I37" s="24"/>
      <c r="J37" s="20"/>
      <c r="K37" s="25" t="s">
        <v>326</v>
      </c>
      <c r="L37" s="26"/>
      <c r="M37" s="27" t="str">
        <f>Scheids!$F$20</f>
        <v>Micha vd Meulen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Maria J7</v>
      </c>
      <c r="F38" s="34"/>
      <c r="G38" s="32" t="s">
        <v>326</v>
      </c>
      <c r="H38" s="34" t="str">
        <f>$A$44</f>
        <v>Horizon J4</v>
      </c>
      <c r="I38" s="35"/>
      <c r="J38" s="31"/>
      <c r="K38" s="36" t="s">
        <v>326</v>
      </c>
      <c r="L38" s="37"/>
      <c r="M38" s="121" t="str">
        <f>Scheids!$F$20</f>
        <v>Micha vd Meulen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Scholen!$L$24</f>
        <v>Park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Scholen!$L$25</f>
        <v>BMS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Scholen!$L$26</f>
        <v>Maurits J1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Scholen!$L$27</f>
        <v>Horizon J4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Scholen!$L$28</f>
        <v>Talent J4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Scholen!$L$29</f>
        <v>Springwijs J6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IF(Scholen!$L$30&lt;&gt;"",Scholen!$L$30,"")</f>
        <v>Maria J7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IF(Scholen!$L$31&lt;&gt;"",Scholen!$L$31,"")</f>
        <v>Vermeer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8"/>
  <dimension ref="A1:X48"/>
  <sheetViews>
    <sheetView topLeftCell="A17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Scholen!$N$22</f>
        <v>Jongens</v>
      </c>
      <c r="F8" s="175"/>
      <c r="G8" s="175"/>
      <c r="H8" s="176" t="s">
        <v>1</v>
      </c>
      <c r="I8" s="177" t="s">
        <v>87</v>
      </c>
      <c r="J8" s="175" t="s">
        <v>11</v>
      </c>
      <c r="K8" s="228">
        <f>Scholen!$O$21</f>
        <v>16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Maria J8</v>
      </c>
      <c r="F11" s="99"/>
      <c r="G11" s="99" t="s">
        <v>326</v>
      </c>
      <c r="H11" s="99" t="str">
        <f>$A$42</f>
        <v>Rembrandt J1</v>
      </c>
      <c r="I11" s="181"/>
      <c r="J11" s="14"/>
      <c r="K11" s="92" t="s">
        <v>326</v>
      </c>
      <c r="L11" s="16"/>
      <c r="M11" s="17" t="str">
        <f>Scheids!$D$21</f>
        <v>Rien Beenen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DSV J3</v>
      </c>
      <c r="F12" s="45"/>
      <c r="G12" s="45" t="s">
        <v>326</v>
      </c>
      <c r="H12" s="45" t="str">
        <f>$A$44</f>
        <v>Tuin J1</v>
      </c>
      <c r="I12" s="183"/>
      <c r="J12" s="20"/>
      <c r="K12" s="25" t="s">
        <v>326</v>
      </c>
      <c r="L12" s="26"/>
      <c r="M12" s="27" t="str">
        <f>Scheids!$D$21</f>
        <v>Rien Beenen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Eglantier-V J3</v>
      </c>
      <c r="F13" s="45"/>
      <c r="G13" s="45" t="s">
        <v>326</v>
      </c>
      <c r="H13" s="45" t="str">
        <f>$A$46</f>
        <v>Bonte Pael J1</v>
      </c>
      <c r="I13" s="183"/>
      <c r="J13" s="20"/>
      <c r="K13" s="25" t="s">
        <v>326</v>
      </c>
      <c r="L13" s="26"/>
      <c r="M13" s="27" t="str">
        <f>Scheids!$D$21</f>
        <v>Rien Beenen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82" t="str">
        <f>$A$47</f>
        <v>Widar J5</v>
      </c>
      <c r="F14" s="45"/>
      <c r="G14" s="45"/>
      <c r="H14" s="45" t="str">
        <f>$A$48</f>
        <v>Cornelis J1</v>
      </c>
      <c r="I14" s="183"/>
      <c r="J14" s="20"/>
      <c r="K14" s="25" t="s">
        <v>326</v>
      </c>
      <c r="L14" s="26"/>
      <c r="M14" s="27" t="str">
        <f>Scheids!$F$21</f>
        <v>Arjen Klapwijk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Rembrandt J1</v>
      </c>
      <c r="F15" s="45"/>
      <c r="G15" s="45" t="s">
        <v>326</v>
      </c>
      <c r="H15" s="45" t="str">
        <f>$A$43</f>
        <v>DSV J3</v>
      </c>
      <c r="I15" s="183"/>
      <c r="J15" s="20"/>
      <c r="K15" s="25" t="s">
        <v>326</v>
      </c>
      <c r="L15" s="26"/>
      <c r="M15" s="27" t="str">
        <f>Scheids!$F$21</f>
        <v>Arjen Klapwijk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Tuin J1</v>
      </c>
      <c r="F16" s="45"/>
      <c r="G16" s="45" t="s">
        <v>326</v>
      </c>
      <c r="H16" s="45" t="str">
        <f>$A$45</f>
        <v>Eglantier-V J3</v>
      </c>
      <c r="I16" s="183"/>
      <c r="J16" s="20"/>
      <c r="K16" s="25" t="s">
        <v>326</v>
      </c>
      <c r="L16" s="26"/>
      <c r="M16" s="27" t="str">
        <f>Scheids!$F$21</f>
        <v>Arjen Klapwijk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Bonte Pael J1</v>
      </c>
      <c r="F17" s="45"/>
      <c r="G17" s="45" t="s">
        <v>326</v>
      </c>
      <c r="H17" s="45" t="str">
        <f>$A$47</f>
        <v>Widar J5</v>
      </c>
      <c r="I17" s="183"/>
      <c r="J17" s="20"/>
      <c r="K17" s="25" t="s">
        <v>326</v>
      </c>
      <c r="L17" s="26"/>
      <c r="M17" s="27" t="str">
        <f>Scheids!$D$21</f>
        <v>Rien Beenen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45" t="str">
        <f>$A$48</f>
        <v>Cornelis J1</v>
      </c>
      <c r="F18" s="45"/>
      <c r="G18" s="45"/>
      <c r="H18" s="45" t="str">
        <f>$A$41</f>
        <v>Maria J8</v>
      </c>
      <c r="I18" s="183"/>
      <c r="J18" s="20"/>
      <c r="K18" s="25" t="s">
        <v>326</v>
      </c>
      <c r="L18" s="26"/>
      <c r="M18" s="27" t="str">
        <f>Scheids!$D$21</f>
        <v>Rien Beenen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Tuin J1</v>
      </c>
      <c r="F19" s="45"/>
      <c r="G19" s="45" t="s">
        <v>326</v>
      </c>
      <c r="H19" s="45" t="str">
        <f>$A$42</f>
        <v>Rembrandt J1</v>
      </c>
      <c r="I19" s="183"/>
      <c r="J19" s="20"/>
      <c r="K19" s="25" t="s">
        <v>326</v>
      </c>
      <c r="L19" s="26"/>
      <c r="M19" s="27" t="str">
        <f>Scheids!$D$21</f>
        <v>Rien Beenen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DSV J3</v>
      </c>
      <c r="F20" s="45"/>
      <c r="G20" s="45" t="s">
        <v>326</v>
      </c>
      <c r="H20" s="45" t="str">
        <f>$A$45</f>
        <v>Eglantier-V J3</v>
      </c>
      <c r="I20" s="183"/>
      <c r="J20" s="20"/>
      <c r="K20" s="25" t="s">
        <v>326</v>
      </c>
      <c r="L20" s="26"/>
      <c r="M20" s="27" t="str">
        <f>Scheids!$F$21</f>
        <v>Arjen Klapwijk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Maria J8</v>
      </c>
      <c r="F21" s="45"/>
      <c r="G21" s="45" t="s">
        <v>326</v>
      </c>
      <c r="H21" s="45" t="str">
        <f>$A$47</f>
        <v>Widar J5</v>
      </c>
      <c r="I21" s="183"/>
      <c r="J21" s="20"/>
      <c r="K21" s="25" t="s">
        <v>326</v>
      </c>
      <c r="L21" s="26"/>
      <c r="M21" s="27" t="str">
        <f>Scheids!$F$21</f>
        <v>Arjen Klapwijk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45" t="str">
        <f>$A$46</f>
        <v>Bonte Pael J1</v>
      </c>
      <c r="F22" s="45"/>
      <c r="G22" s="45"/>
      <c r="H22" s="45" t="str">
        <f>$A$48</f>
        <v>Cornelis J1</v>
      </c>
      <c r="I22" s="183"/>
      <c r="J22" s="20"/>
      <c r="K22" s="25" t="s">
        <v>326</v>
      </c>
      <c r="L22" s="26"/>
      <c r="M22" s="27" t="str">
        <f>Scheids!$F$21</f>
        <v>Arjen Klapwijk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Maria J8</v>
      </c>
      <c r="F23" s="45"/>
      <c r="G23" s="45" t="s">
        <v>326</v>
      </c>
      <c r="H23" s="45" t="str">
        <f>$A$43</f>
        <v>DSV J3</v>
      </c>
      <c r="I23" s="183"/>
      <c r="J23" s="20"/>
      <c r="K23" s="25" t="s">
        <v>326</v>
      </c>
      <c r="L23" s="26"/>
      <c r="M23" s="27" t="str">
        <f>Scheids!$D$21</f>
        <v>Rien Beenen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Bonte Pael J1</v>
      </c>
      <c r="F24" s="45"/>
      <c r="G24" s="45" t="s">
        <v>326</v>
      </c>
      <c r="H24" s="45" t="str">
        <f>$A$44</f>
        <v>Tuin J1</v>
      </c>
      <c r="I24" s="183"/>
      <c r="J24" s="20"/>
      <c r="K24" s="25" t="s">
        <v>326</v>
      </c>
      <c r="L24" s="26"/>
      <c r="M24" s="27" t="str">
        <f>Scheids!$D$21</f>
        <v>Rien Beenen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Rembrandt J1</v>
      </c>
      <c r="F25" s="45"/>
      <c r="G25" s="45" t="s">
        <v>326</v>
      </c>
      <c r="H25" s="45" t="str">
        <f>$A$47</f>
        <v>Widar J5</v>
      </c>
      <c r="I25" s="183"/>
      <c r="J25" s="20"/>
      <c r="K25" s="25" t="s">
        <v>326</v>
      </c>
      <c r="L25" s="26"/>
      <c r="M25" s="27" t="str">
        <f>Scheids!$D$21</f>
        <v>Rien Beenen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82" t="str">
        <f>$A$45</f>
        <v>Eglantier-V J3</v>
      </c>
      <c r="F26" s="45"/>
      <c r="G26" s="45"/>
      <c r="H26" s="45" t="str">
        <f>$A$48</f>
        <v>Cornelis J1</v>
      </c>
      <c r="I26" s="183"/>
      <c r="J26" s="20"/>
      <c r="K26" s="25" t="s">
        <v>326</v>
      </c>
      <c r="L26" s="26"/>
      <c r="M26" s="27" t="str">
        <f>Scheids!$F$21</f>
        <v>Arjen Klapwijk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DSV J3</v>
      </c>
      <c r="F27" s="45"/>
      <c r="G27" s="45" t="s">
        <v>326</v>
      </c>
      <c r="H27" s="45" t="str">
        <f>$A$46</f>
        <v>Bonte Pael J1</v>
      </c>
      <c r="I27" s="183"/>
      <c r="J27" s="20"/>
      <c r="K27" s="25" t="s">
        <v>326</v>
      </c>
      <c r="L27" s="26"/>
      <c r="M27" s="27" t="str">
        <f>Scheids!$F$21</f>
        <v>Arjen Klapwijk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45" t="str">
        <f>$A$42</f>
        <v>Rembrandt J1</v>
      </c>
      <c r="F28" s="45"/>
      <c r="G28" s="45"/>
      <c r="H28" s="45" t="str">
        <f>$A$48</f>
        <v>Cornelis J1</v>
      </c>
      <c r="I28" s="183"/>
      <c r="J28" s="20"/>
      <c r="K28" s="25" t="s">
        <v>326</v>
      </c>
      <c r="L28" s="26"/>
      <c r="M28" s="27" t="str">
        <f>Scheids!$F$21</f>
        <v>Arjen Klapwijk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Tuin J1</v>
      </c>
      <c r="F29" s="45"/>
      <c r="G29" s="45" t="s">
        <v>326</v>
      </c>
      <c r="H29" s="45" t="str">
        <f>$A$41</f>
        <v>Maria J8</v>
      </c>
      <c r="I29" s="183"/>
      <c r="J29" s="20"/>
      <c r="K29" s="25" t="s">
        <v>326</v>
      </c>
      <c r="L29" s="26"/>
      <c r="M29" s="27" t="str">
        <f>Scheids!$D$21</f>
        <v>Rien Beenen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Widar J5</v>
      </c>
      <c r="F30" s="45"/>
      <c r="G30" s="45" t="s">
        <v>326</v>
      </c>
      <c r="H30" s="45" t="str">
        <f>$A$45</f>
        <v>Eglantier-V J3</v>
      </c>
      <c r="I30" s="183"/>
      <c r="J30" s="20"/>
      <c r="K30" s="25" t="s">
        <v>326</v>
      </c>
      <c r="L30" s="26"/>
      <c r="M30" s="27" t="str">
        <f>Scheids!$D$21</f>
        <v>Rien Beenen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45" t="str">
        <f>$A$48</f>
        <v>Cornelis J1</v>
      </c>
      <c r="F31" s="45"/>
      <c r="G31" s="45"/>
      <c r="H31" s="45" t="str">
        <f>$A$44</f>
        <v>Tuin J1</v>
      </c>
      <c r="I31" s="183"/>
      <c r="J31" s="20"/>
      <c r="K31" s="25" t="s">
        <v>326</v>
      </c>
      <c r="L31" s="26"/>
      <c r="M31" s="27" t="str">
        <f>Scheids!$D$21</f>
        <v>Rien Beenen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DSV J3</v>
      </c>
      <c r="F32" s="45"/>
      <c r="G32" s="45" t="s">
        <v>326</v>
      </c>
      <c r="H32" s="45" t="str">
        <f>$A$47</f>
        <v>Widar J5</v>
      </c>
      <c r="I32" s="183"/>
      <c r="J32" s="20"/>
      <c r="K32" s="25" t="s">
        <v>326</v>
      </c>
      <c r="L32" s="26"/>
      <c r="M32" s="27" t="str">
        <f>Scheids!$F$21</f>
        <v>Arjen Klapwijk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Rembrandt J1</v>
      </c>
      <c r="F33" s="45"/>
      <c r="G33" s="45" t="s">
        <v>326</v>
      </c>
      <c r="H33" s="45" t="str">
        <f>$A$46</f>
        <v>Bonte Pael J1</v>
      </c>
      <c r="I33" s="183"/>
      <c r="J33" s="20"/>
      <c r="K33" s="25" t="s">
        <v>326</v>
      </c>
      <c r="L33" s="26"/>
      <c r="M33" s="27" t="str">
        <f>Scheids!$F$21</f>
        <v>Arjen Klapwijk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Maria J8</v>
      </c>
      <c r="F34" s="45"/>
      <c r="G34" s="45" t="s">
        <v>326</v>
      </c>
      <c r="H34" s="45" t="str">
        <f>$A$45</f>
        <v>Eglantier-V J3</v>
      </c>
      <c r="I34" s="183"/>
      <c r="J34" s="20"/>
      <c r="K34" s="25" t="s">
        <v>326</v>
      </c>
      <c r="L34" s="26"/>
      <c r="M34" s="27" t="str">
        <f>Scheids!$F$21</f>
        <v>Arjen Klapwijk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45" t="str">
        <f>$A$48</f>
        <v>Cornelis J1</v>
      </c>
      <c r="F35" s="45"/>
      <c r="G35" s="45"/>
      <c r="H35" s="45" t="str">
        <f>$A$43</f>
        <v>DSV J3</v>
      </c>
      <c r="I35" s="183"/>
      <c r="J35" s="20"/>
      <c r="K35" s="25" t="s">
        <v>326</v>
      </c>
      <c r="L35" s="26"/>
      <c r="M35" s="27" t="str">
        <f>Scheids!$D$21</f>
        <v>Rien Beenen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Bonte Pael J1</v>
      </c>
      <c r="F36" s="45"/>
      <c r="G36" s="45" t="s">
        <v>326</v>
      </c>
      <c r="H36" s="45" t="str">
        <f>$A$41</f>
        <v>Maria J8</v>
      </c>
      <c r="I36" s="183"/>
      <c r="J36" s="20"/>
      <c r="K36" s="25" t="s">
        <v>326</v>
      </c>
      <c r="L36" s="26"/>
      <c r="M36" s="27" t="str">
        <f>Scheids!$D$21</f>
        <v>Rien Beenen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Eglantier-V J3</v>
      </c>
      <c r="F37" s="45"/>
      <c r="G37" s="45" t="s">
        <v>326</v>
      </c>
      <c r="H37" s="45" t="str">
        <f>$A$42</f>
        <v>Rembrandt J1</v>
      </c>
      <c r="I37" s="183"/>
      <c r="J37" s="20"/>
      <c r="K37" s="25" t="s">
        <v>326</v>
      </c>
      <c r="L37" s="26"/>
      <c r="M37" s="27" t="str">
        <f>Scheids!$F$21</f>
        <v>Arjen Klapwijk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Widar J5</v>
      </c>
      <c r="F38" s="43"/>
      <c r="G38" s="43" t="s">
        <v>326</v>
      </c>
      <c r="H38" s="43" t="str">
        <f>$A$44</f>
        <v>Tuin J1</v>
      </c>
      <c r="I38" s="184"/>
      <c r="J38" s="31"/>
      <c r="K38" s="36" t="s">
        <v>326</v>
      </c>
      <c r="L38" s="37"/>
      <c r="M38" s="121" t="str">
        <f>Scheids!$F$21</f>
        <v>Arjen Klapwijk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Scholen!$N$24</f>
        <v>Maria J8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Scholen!$N$25</f>
        <v>Rembrandt J1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Scholen!$N$26</f>
        <v>DSV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7" t="str">
        <f>Scholen!$N$27</f>
        <v>Tuin J1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Scholen!$N$28</f>
        <v>Eglantier-V J3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Scholen!$N$29</f>
        <v>Bonte Pael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IF(Scholen!$N$30&lt;&gt;"",Scholen!$N$30,"")</f>
        <v>Widar J5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IF(Scholen!$N$31&lt;&gt;"",Scholen!$N$31,"")</f>
        <v>Cornelis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19"/>
  <dimension ref="A1:X48"/>
  <sheetViews>
    <sheetView topLeftCell="A17" zoomScaleNormal="100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Scholen!$P$22</f>
        <v>Jongens</v>
      </c>
      <c r="F8" s="175"/>
      <c r="G8" s="175"/>
      <c r="H8" s="176" t="s">
        <v>1</v>
      </c>
      <c r="I8" s="177" t="s">
        <v>88</v>
      </c>
      <c r="J8" s="175" t="s">
        <v>11</v>
      </c>
      <c r="K8" s="228">
        <f>Scholen!$Q$21</f>
        <v>17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Waterhof J4</v>
      </c>
      <c r="F11" s="99"/>
      <c r="G11" s="99" t="s">
        <v>326</v>
      </c>
      <c r="H11" s="99" t="str">
        <f>$A$42</f>
        <v>Regenboog J1</v>
      </c>
      <c r="I11" s="181"/>
      <c r="J11" s="14"/>
      <c r="K11" s="92" t="s">
        <v>326</v>
      </c>
      <c r="L11" s="16"/>
      <c r="M11" s="17" t="str">
        <f>Scheids!$D$22</f>
        <v>Robèrt vd Bosch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Talent J5</v>
      </c>
      <c r="F12" s="45"/>
      <c r="G12" s="45" t="s">
        <v>326</v>
      </c>
      <c r="H12" s="45" t="str">
        <f>$A$44</f>
        <v>Max J2</v>
      </c>
      <c r="I12" s="183"/>
      <c r="J12" s="20"/>
      <c r="K12" s="25" t="s">
        <v>326</v>
      </c>
      <c r="L12" s="26"/>
      <c r="M12" s="27" t="str">
        <f>Scheids!$D$22</f>
        <v>Robèrt vd Bosch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Freinet J2</v>
      </c>
      <c r="F13" s="45"/>
      <c r="G13" s="45" t="s">
        <v>326</v>
      </c>
      <c r="H13" s="45" t="str">
        <f>$A$46</f>
        <v>Laurentius J2</v>
      </c>
      <c r="I13" s="183"/>
      <c r="J13" s="20"/>
      <c r="K13" s="25" t="s">
        <v>326</v>
      </c>
      <c r="L13" s="26"/>
      <c r="M13" s="27" t="str">
        <f>Scheids!$D$22</f>
        <v>Robèrt vd Bosch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82" t="str">
        <f>$A$47</f>
        <v>Titus J4</v>
      </c>
      <c r="F14" s="45"/>
      <c r="G14" s="45"/>
      <c r="H14" s="45" t="str">
        <f>$A$48</f>
        <v>Mozaïek J3</v>
      </c>
      <c r="I14" s="183"/>
      <c r="J14" s="20"/>
      <c r="K14" s="25" t="s">
        <v>326</v>
      </c>
      <c r="L14" s="26"/>
      <c r="M14" s="27" t="str">
        <f>Scheids!$F$22</f>
        <v>Johan Hiemstra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Regenboog J1</v>
      </c>
      <c r="F15" s="45"/>
      <c r="G15" s="45" t="s">
        <v>326</v>
      </c>
      <c r="H15" s="45" t="str">
        <f>$A$43</f>
        <v>Talent J5</v>
      </c>
      <c r="I15" s="183"/>
      <c r="J15" s="20"/>
      <c r="K15" s="25" t="s">
        <v>326</v>
      </c>
      <c r="L15" s="26"/>
      <c r="M15" s="27" t="str">
        <f>Scheids!$F$22</f>
        <v>Johan Hiemstra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Max J2</v>
      </c>
      <c r="F16" s="45"/>
      <c r="G16" s="45" t="s">
        <v>326</v>
      </c>
      <c r="H16" s="45" t="str">
        <f>$A$45</f>
        <v>Freinet J2</v>
      </c>
      <c r="I16" s="183"/>
      <c r="J16" s="20"/>
      <c r="K16" s="25" t="s">
        <v>326</v>
      </c>
      <c r="L16" s="26"/>
      <c r="M16" s="27" t="str">
        <f>Scheids!$F$22</f>
        <v>Johan Hiemstra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Laurentius J2</v>
      </c>
      <c r="F17" s="45"/>
      <c r="G17" s="45" t="s">
        <v>326</v>
      </c>
      <c r="H17" s="45" t="str">
        <f>$A$47</f>
        <v>Titus J4</v>
      </c>
      <c r="I17" s="183"/>
      <c r="J17" s="20"/>
      <c r="K17" s="25" t="s">
        <v>326</v>
      </c>
      <c r="L17" s="26"/>
      <c r="M17" s="27" t="str">
        <f>Scheids!$D$22</f>
        <v>Robèrt vd Bosch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45" t="str">
        <f>$A$48</f>
        <v>Mozaïek J3</v>
      </c>
      <c r="F18" s="45"/>
      <c r="G18" s="45"/>
      <c r="H18" s="45" t="str">
        <f>$A$41</f>
        <v>Waterhof J4</v>
      </c>
      <c r="I18" s="183"/>
      <c r="J18" s="20"/>
      <c r="K18" s="25" t="s">
        <v>326</v>
      </c>
      <c r="L18" s="26"/>
      <c r="M18" s="27" t="str">
        <f>Scheids!$D$22</f>
        <v>Robèrt vd Bosch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Max J2</v>
      </c>
      <c r="F19" s="45"/>
      <c r="G19" s="45" t="s">
        <v>326</v>
      </c>
      <c r="H19" s="45" t="str">
        <f>$A$42</f>
        <v>Regenboog J1</v>
      </c>
      <c r="I19" s="183"/>
      <c r="J19" s="20"/>
      <c r="K19" s="25" t="s">
        <v>326</v>
      </c>
      <c r="L19" s="26"/>
      <c r="M19" s="27" t="str">
        <f>Scheids!$D$22</f>
        <v>Robèrt vd Bosch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Talent J5</v>
      </c>
      <c r="F20" s="45"/>
      <c r="G20" s="45" t="s">
        <v>326</v>
      </c>
      <c r="H20" s="45" t="str">
        <f>$A$45</f>
        <v>Freinet J2</v>
      </c>
      <c r="I20" s="183"/>
      <c r="J20" s="20"/>
      <c r="K20" s="25" t="s">
        <v>326</v>
      </c>
      <c r="L20" s="26"/>
      <c r="M20" s="27" t="str">
        <f>Scheids!$F$22</f>
        <v>Johan Hiemstra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Waterhof J4</v>
      </c>
      <c r="F21" s="45"/>
      <c r="G21" s="45" t="s">
        <v>326</v>
      </c>
      <c r="H21" s="45" t="str">
        <f>$A$47</f>
        <v>Titus J4</v>
      </c>
      <c r="I21" s="183"/>
      <c r="J21" s="20"/>
      <c r="K21" s="25" t="s">
        <v>326</v>
      </c>
      <c r="L21" s="26"/>
      <c r="M21" s="27" t="str">
        <f>Scheids!$F$22</f>
        <v>Johan Hiemstra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45" t="str">
        <f>$A$46</f>
        <v>Laurentius J2</v>
      </c>
      <c r="F22" s="45"/>
      <c r="G22" s="45"/>
      <c r="H22" s="45" t="str">
        <f>$A$48</f>
        <v>Mozaïek J3</v>
      </c>
      <c r="I22" s="183"/>
      <c r="J22" s="20"/>
      <c r="K22" s="25" t="s">
        <v>326</v>
      </c>
      <c r="L22" s="26"/>
      <c r="M22" s="27" t="str">
        <f>Scheids!$F$22</f>
        <v>Johan Hiemstra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Waterhof J4</v>
      </c>
      <c r="F23" s="45"/>
      <c r="G23" s="45" t="s">
        <v>326</v>
      </c>
      <c r="H23" s="45" t="str">
        <f>$A$43</f>
        <v>Talent J5</v>
      </c>
      <c r="I23" s="183"/>
      <c r="J23" s="20"/>
      <c r="K23" s="25" t="s">
        <v>326</v>
      </c>
      <c r="L23" s="26"/>
      <c r="M23" s="27" t="str">
        <f>Scheids!$D$22</f>
        <v>Robèrt vd Bosch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Laurentius J2</v>
      </c>
      <c r="F24" s="45"/>
      <c r="G24" s="45" t="s">
        <v>326</v>
      </c>
      <c r="H24" s="45" t="str">
        <f>$A$44</f>
        <v>Max J2</v>
      </c>
      <c r="I24" s="183"/>
      <c r="J24" s="20"/>
      <c r="K24" s="25" t="s">
        <v>326</v>
      </c>
      <c r="L24" s="26"/>
      <c r="M24" s="27" t="str">
        <f>Scheids!$D$22</f>
        <v>Robèrt vd Bosch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Regenboog J1</v>
      </c>
      <c r="F25" s="45"/>
      <c r="G25" s="45" t="s">
        <v>326</v>
      </c>
      <c r="H25" s="45" t="str">
        <f>$A$47</f>
        <v>Titus J4</v>
      </c>
      <c r="I25" s="183"/>
      <c r="J25" s="20"/>
      <c r="K25" s="25" t="s">
        <v>326</v>
      </c>
      <c r="L25" s="26"/>
      <c r="M25" s="27" t="str">
        <f>Scheids!$D$22</f>
        <v>Robèrt vd Bosch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82" t="str">
        <f>$A$45</f>
        <v>Freinet J2</v>
      </c>
      <c r="F26" s="45"/>
      <c r="G26" s="45"/>
      <c r="H26" s="45" t="str">
        <f>$A$48</f>
        <v>Mozaïek J3</v>
      </c>
      <c r="I26" s="183"/>
      <c r="J26" s="20"/>
      <c r="K26" s="25" t="s">
        <v>326</v>
      </c>
      <c r="L26" s="26"/>
      <c r="M26" s="27" t="str">
        <f>Scheids!$F$22</f>
        <v>Johan Hiemstra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Talent J5</v>
      </c>
      <c r="F27" s="45"/>
      <c r="G27" s="45" t="s">
        <v>326</v>
      </c>
      <c r="H27" s="45" t="str">
        <f>$A$46</f>
        <v>Laurentius J2</v>
      </c>
      <c r="I27" s="183"/>
      <c r="J27" s="20"/>
      <c r="K27" s="25" t="s">
        <v>326</v>
      </c>
      <c r="L27" s="26"/>
      <c r="M27" s="27" t="str">
        <f>Scheids!$F$22</f>
        <v>Johan Hiemstra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45" t="str">
        <f>$A$42</f>
        <v>Regenboog J1</v>
      </c>
      <c r="F28" s="45"/>
      <c r="G28" s="45"/>
      <c r="H28" s="45" t="str">
        <f>$A$48</f>
        <v>Mozaïek J3</v>
      </c>
      <c r="I28" s="183"/>
      <c r="J28" s="20"/>
      <c r="K28" s="25" t="s">
        <v>326</v>
      </c>
      <c r="L28" s="26"/>
      <c r="M28" s="27" t="str">
        <f>Scheids!$F$22</f>
        <v>Johan Hiemstra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Max J2</v>
      </c>
      <c r="F29" s="45"/>
      <c r="G29" s="45" t="s">
        <v>326</v>
      </c>
      <c r="H29" s="45" t="str">
        <f>$A$41</f>
        <v>Waterhof J4</v>
      </c>
      <c r="I29" s="183"/>
      <c r="J29" s="20"/>
      <c r="K29" s="25" t="s">
        <v>326</v>
      </c>
      <c r="L29" s="26"/>
      <c r="M29" s="27" t="str">
        <f>Scheids!$D$22</f>
        <v>Robèrt vd Bosch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Titus J4</v>
      </c>
      <c r="F30" s="45"/>
      <c r="G30" s="45" t="s">
        <v>326</v>
      </c>
      <c r="H30" s="45" t="str">
        <f>$A$45</f>
        <v>Freinet J2</v>
      </c>
      <c r="I30" s="183"/>
      <c r="J30" s="20"/>
      <c r="K30" s="25" t="s">
        <v>326</v>
      </c>
      <c r="L30" s="26"/>
      <c r="M30" s="27" t="str">
        <f>Scheids!$D$22</f>
        <v>Robèrt vd Bosch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45" t="str">
        <f>$A$48</f>
        <v>Mozaïek J3</v>
      </c>
      <c r="F31" s="45"/>
      <c r="G31" s="45"/>
      <c r="H31" s="45" t="str">
        <f>$A$44</f>
        <v>Max J2</v>
      </c>
      <c r="I31" s="183"/>
      <c r="J31" s="20"/>
      <c r="K31" s="25" t="s">
        <v>326</v>
      </c>
      <c r="L31" s="26"/>
      <c r="M31" s="27" t="str">
        <f>Scheids!$D$22</f>
        <v>Robèrt vd Bosch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Talent J5</v>
      </c>
      <c r="F32" s="45"/>
      <c r="G32" s="45" t="s">
        <v>326</v>
      </c>
      <c r="H32" s="45" t="str">
        <f>$A$47</f>
        <v>Titus J4</v>
      </c>
      <c r="I32" s="183"/>
      <c r="J32" s="20"/>
      <c r="K32" s="25" t="s">
        <v>326</v>
      </c>
      <c r="L32" s="26"/>
      <c r="M32" s="27" t="str">
        <f>Scheids!$F$22</f>
        <v>Johan Hiemstra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Regenboog J1</v>
      </c>
      <c r="F33" s="45"/>
      <c r="G33" s="45" t="s">
        <v>326</v>
      </c>
      <c r="H33" s="45" t="str">
        <f>$A$46</f>
        <v>Laurentius J2</v>
      </c>
      <c r="I33" s="183"/>
      <c r="J33" s="20"/>
      <c r="K33" s="25" t="s">
        <v>326</v>
      </c>
      <c r="L33" s="26"/>
      <c r="M33" s="27" t="str">
        <f>Scheids!$F$22</f>
        <v>Johan Hiemstra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Waterhof J4</v>
      </c>
      <c r="F34" s="45"/>
      <c r="G34" s="45" t="s">
        <v>326</v>
      </c>
      <c r="H34" s="45" t="str">
        <f>$A$45</f>
        <v>Freinet J2</v>
      </c>
      <c r="I34" s="183"/>
      <c r="J34" s="20"/>
      <c r="K34" s="25" t="s">
        <v>326</v>
      </c>
      <c r="L34" s="26"/>
      <c r="M34" s="27" t="str">
        <f>Scheids!$F$22</f>
        <v>Johan Hiemstra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45" t="str">
        <f>$A$48</f>
        <v>Mozaïek J3</v>
      </c>
      <c r="F35" s="45"/>
      <c r="G35" s="45"/>
      <c r="H35" s="45" t="str">
        <f>$A$43</f>
        <v>Talent J5</v>
      </c>
      <c r="I35" s="183"/>
      <c r="J35" s="20"/>
      <c r="K35" s="25" t="s">
        <v>326</v>
      </c>
      <c r="L35" s="26"/>
      <c r="M35" s="27" t="str">
        <f>Scheids!$D$22</f>
        <v>Robèrt vd Bosch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Laurentius J2</v>
      </c>
      <c r="F36" s="45"/>
      <c r="G36" s="45" t="s">
        <v>326</v>
      </c>
      <c r="H36" s="45" t="str">
        <f>$A$41</f>
        <v>Waterhof J4</v>
      </c>
      <c r="I36" s="183"/>
      <c r="J36" s="20"/>
      <c r="K36" s="25" t="s">
        <v>326</v>
      </c>
      <c r="L36" s="26"/>
      <c r="M36" s="27" t="str">
        <f>Scheids!$D$22</f>
        <v>Robèrt vd Bosch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Freinet J2</v>
      </c>
      <c r="F37" s="45"/>
      <c r="G37" s="45" t="s">
        <v>326</v>
      </c>
      <c r="H37" s="45" t="str">
        <f>$A$42</f>
        <v>Regenboog J1</v>
      </c>
      <c r="I37" s="183"/>
      <c r="J37" s="20"/>
      <c r="K37" s="25" t="s">
        <v>326</v>
      </c>
      <c r="L37" s="26"/>
      <c r="M37" s="27" t="str">
        <f>Scheids!$F$22</f>
        <v>Johan Hiemstra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Titus J4</v>
      </c>
      <c r="F38" s="43"/>
      <c r="G38" s="43" t="s">
        <v>326</v>
      </c>
      <c r="H38" s="43" t="str">
        <f>$A$44</f>
        <v>Max J2</v>
      </c>
      <c r="I38" s="184"/>
      <c r="J38" s="31"/>
      <c r="K38" s="36" t="s">
        <v>326</v>
      </c>
      <c r="L38" s="37"/>
      <c r="M38" s="121" t="str">
        <f>Scheids!$F$22</f>
        <v>Johan Hiemstra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Scholen!$P$24</f>
        <v>Waterhof J4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Scholen!$P$25</f>
        <v>Regenboog J1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Scholen!$P$26</f>
        <v>Talent J5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Scholen!$P$27</f>
        <v>Max J2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Scholen!$P$28</f>
        <v>Freinet J2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Scholen!$P$29</f>
        <v>Laurentius J2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IF(Scholen!$P$30&lt;&gt;"",Scholen!$P$30,"")</f>
        <v>Titus J4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IF(Scholen!$P$31&lt;&gt;"",Scholen!$P$31,"")</f>
        <v>Mozaïek J3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6C048-BBEF-4B97-A87D-1B9104BC32E0}">
  <sheetPr codeName="Blad20"/>
  <dimension ref="A1:X48"/>
  <sheetViews>
    <sheetView topLeftCell="A17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Scholen!$R$22</f>
        <v>Jongens</v>
      </c>
      <c r="F8" s="175"/>
      <c r="G8" s="175"/>
      <c r="H8" s="176" t="s">
        <v>1</v>
      </c>
      <c r="I8" s="177" t="s">
        <v>89</v>
      </c>
      <c r="J8" s="175" t="s">
        <v>11</v>
      </c>
      <c r="K8" s="228">
        <f>Scholen!$S$21</f>
        <v>18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178" t="s">
        <v>274</v>
      </c>
      <c r="N10" s="94"/>
      <c r="O10" s="86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Eglantier-B J1</v>
      </c>
      <c r="F11" s="99"/>
      <c r="G11" s="99" t="s">
        <v>326</v>
      </c>
      <c r="H11" s="99" t="str">
        <f>$A$42</f>
        <v>Gabriël J5</v>
      </c>
      <c r="I11" s="181"/>
      <c r="J11" s="14"/>
      <c r="K11" s="92" t="s">
        <v>326</v>
      </c>
      <c r="L11" s="92"/>
      <c r="M11" s="17" t="str">
        <f>Scheids!$D$23</f>
        <v>Michel vd Vlist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Freinet J3</v>
      </c>
      <c r="F12" s="45"/>
      <c r="G12" s="45" t="s">
        <v>326</v>
      </c>
      <c r="H12" s="45" t="str">
        <f>$A$44</f>
        <v>BMS J3</v>
      </c>
      <c r="I12" s="183"/>
      <c r="J12" s="20"/>
      <c r="K12" s="25" t="s">
        <v>326</v>
      </c>
      <c r="L12" s="25"/>
      <c r="M12" s="27" t="str">
        <f>Scheids!$D$23</f>
        <v>Michel vd Vlist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Maurits J2</v>
      </c>
      <c r="F13" s="45"/>
      <c r="G13" s="45" t="s">
        <v>326</v>
      </c>
      <c r="H13" s="45" t="str">
        <f>$A$46</f>
        <v>Max J3</v>
      </c>
      <c r="I13" s="183"/>
      <c r="J13" s="20"/>
      <c r="K13" s="25" t="s">
        <v>326</v>
      </c>
      <c r="L13" s="25"/>
      <c r="M13" s="27" t="str">
        <f>Scheids!$D$23</f>
        <v>Michel vd Vlist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82" t="str">
        <f>$A$47</f>
        <v>Vermeer J2</v>
      </c>
      <c r="F14" s="45"/>
      <c r="G14" s="45"/>
      <c r="H14" s="45" t="str">
        <f>$A$48</f>
        <v>M Delft J1</v>
      </c>
      <c r="I14" s="183"/>
      <c r="J14" s="20"/>
      <c r="K14" s="25" t="s">
        <v>326</v>
      </c>
      <c r="L14" s="25"/>
      <c r="M14" s="27" t="str">
        <f>Scheids!$F$23</f>
        <v>Thom Melissen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Gabriël J5</v>
      </c>
      <c r="F15" s="45"/>
      <c r="G15" s="45" t="s">
        <v>326</v>
      </c>
      <c r="H15" s="45" t="str">
        <f>$A$43</f>
        <v>Freinet J3</v>
      </c>
      <c r="I15" s="183"/>
      <c r="J15" s="20"/>
      <c r="K15" s="25" t="s">
        <v>326</v>
      </c>
      <c r="L15" s="25"/>
      <c r="M15" s="27" t="str">
        <f>Scheids!$F$23</f>
        <v>Thom Melissen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BMS J3</v>
      </c>
      <c r="F16" s="45"/>
      <c r="G16" s="45" t="s">
        <v>326</v>
      </c>
      <c r="H16" s="45" t="str">
        <f>$A$45</f>
        <v>Maurits J2</v>
      </c>
      <c r="I16" s="183"/>
      <c r="J16" s="20"/>
      <c r="K16" s="25" t="s">
        <v>326</v>
      </c>
      <c r="L16" s="25"/>
      <c r="M16" s="27" t="str">
        <f>Scheids!$F$23</f>
        <v>Thom Melissen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Max J3</v>
      </c>
      <c r="F17" s="45"/>
      <c r="G17" s="45" t="s">
        <v>326</v>
      </c>
      <c r="H17" s="45" t="str">
        <f>$A$47</f>
        <v>Vermeer J2</v>
      </c>
      <c r="I17" s="183"/>
      <c r="J17" s="20"/>
      <c r="K17" s="25" t="s">
        <v>326</v>
      </c>
      <c r="L17" s="25"/>
      <c r="M17" s="27" t="str">
        <f>Scheids!$D$23</f>
        <v>Michel vd Vlist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45" t="str">
        <f>$A$48</f>
        <v>M Delft J1</v>
      </c>
      <c r="F18" s="45"/>
      <c r="G18" s="45"/>
      <c r="H18" s="45" t="str">
        <f>$A$41</f>
        <v>Eglantier-B J1</v>
      </c>
      <c r="I18" s="183"/>
      <c r="J18" s="20"/>
      <c r="K18" s="25" t="s">
        <v>326</v>
      </c>
      <c r="L18" s="25"/>
      <c r="M18" s="27" t="str">
        <f>Scheids!$D$23</f>
        <v>Michel vd Vlist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BMS J3</v>
      </c>
      <c r="F19" s="45"/>
      <c r="G19" s="45" t="s">
        <v>326</v>
      </c>
      <c r="H19" s="45" t="str">
        <f>$A$42</f>
        <v>Gabriël J5</v>
      </c>
      <c r="I19" s="183"/>
      <c r="J19" s="20"/>
      <c r="K19" s="25" t="s">
        <v>326</v>
      </c>
      <c r="L19" s="25"/>
      <c r="M19" s="27" t="str">
        <f>Scheids!$D$23</f>
        <v>Michel vd Vlist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Freinet J3</v>
      </c>
      <c r="F20" s="45"/>
      <c r="G20" s="45" t="s">
        <v>326</v>
      </c>
      <c r="H20" s="45" t="str">
        <f>$A$45</f>
        <v>Maurits J2</v>
      </c>
      <c r="I20" s="183"/>
      <c r="J20" s="20"/>
      <c r="K20" s="25" t="s">
        <v>326</v>
      </c>
      <c r="L20" s="25"/>
      <c r="M20" s="27" t="str">
        <f>Scheids!$F$23</f>
        <v>Thom Melissen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Eglantier-B J1</v>
      </c>
      <c r="F21" s="45"/>
      <c r="G21" s="45" t="s">
        <v>326</v>
      </c>
      <c r="H21" s="45" t="str">
        <f>$A$47</f>
        <v>Vermeer J2</v>
      </c>
      <c r="I21" s="183"/>
      <c r="J21" s="20"/>
      <c r="K21" s="25" t="s">
        <v>326</v>
      </c>
      <c r="L21" s="25"/>
      <c r="M21" s="27" t="str">
        <f>Scheids!$F$23</f>
        <v>Thom Melissen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45" t="str">
        <f>$A$46</f>
        <v>Max J3</v>
      </c>
      <c r="F22" s="45"/>
      <c r="G22" s="45"/>
      <c r="H22" s="45" t="str">
        <f>$A$48</f>
        <v>M Delft J1</v>
      </c>
      <c r="I22" s="183"/>
      <c r="J22" s="20"/>
      <c r="K22" s="25" t="s">
        <v>326</v>
      </c>
      <c r="L22" s="25"/>
      <c r="M22" s="27" t="str">
        <f>Scheids!$F$23</f>
        <v>Thom Melissen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Eglantier-B J1</v>
      </c>
      <c r="F23" s="45"/>
      <c r="G23" s="45" t="s">
        <v>326</v>
      </c>
      <c r="H23" s="45" t="str">
        <f>$A$43</f>
        <v>Freinet J3</v>
      </c>
      <c r="I23" s="183"/>
      <c r="J23" s="20"/>
      <c r="K23" s="25" t="s">
        <v>326</v>
      </c>
      <c r="L23" s="25"/>
      <c r="M23" s="27" t="str">
        <f>Scheids!$D$23</f>
        <v>Michel vd Vlist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Max J3</v>
      </c>
      <c r="F24" s="45"/>
      <c r="G24" s="45" t="s">
        <v>326</v>
      </c>
      <c r="H24" s="45" t="str">
        <f>$A$44</f>
        <v>BMS J3</v>
      </c>
      <c r="I24" s="183"/>
      <c r="J24" s="20"/>
      <c r="K24" s="25" t="s">
        <v>326</v>
      </c>
      <c r="L24" s="25"/>
      <c r="M24" s="27" t="str">
        <f>Scheids!$D$23</f>
        <v>Michel vd Vlist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Gabriël J5</v>
      </c>
      <c r="F25" s="45"/>
      <c r="G25" s="45" t="s">
        <v>326</v>
      </c>
      <c r="H25" s="45" t="str">
        <f>$A$47</f>
        <v>Vermeer J2</v>
      </c>
      <c r="I25" s="183"/>
      <c r="J25" s="20"/>
      <c r="K25" s="25" t="s">
        <v>326</v>
      </c>
      <c r="L25" s="25"/>
      <c r="M25" s="27" t="str">
        <f>Scheids!$D$23</f>
        <v>Michel vd Vlist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82" t="str">
        <f>$A$45</f>
        <v>Maurits J2</v>
      </c>
      <c r="F26" s="45"/>
      <c r="G26" s="45"/>
      <c r="H26" s="45" t="str">
        <f>$A$48</f>
        <v>M Delft J1</v>
      </c>
      <c r="I26" s="183"/>
      <c r="J26" s="20"/>
      <c r="K26" s="25" t="s">
        <v>326</v>
      </c>
      <c r="L26" s="25"/>
      <c r="M26" s="27" t="str">
        <f>Scheids!$F$23</f>
        <v>Thom Melissen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Freinet J3</v>
      </c>
      <c r="F27" s="45"/>
      <c r="G27" s="45" t="s">
        <v>326</v>
      </c>
      <c r="H27" s="45" t="str">
        <f>$A$46</f>
        <v>Max J3</v>
      </c>
      <c r="I27" s="183"/>
      <c r="J27" s="20"/>
      <c r="K27" s="25" t="s">
        <v>326</v>
      </c>
      <c r="L27" s="25"/>
      <c r="M27" s="27" t="str">
        <f>Scheids!$F$23</f>
        <v>Thom Melissen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45" t="str">
        <f>$A$42</f>
        <v>Gabriël J5</v>
      </c>
      <c r="F28" s="45"/>
      <c r="G28" s="45"/>
      <c r="H28" s="45" t="str">
        <f>$A$48</f>
        <v>M Delft J1</v>
      </c>
      <c r="I28" s="183"/>
      <c r="J28" s="20"/>
      <c r="K28" s="25" t="s">
        <v>326</v>
      </c>
      <c r="L28" s="25"/>
      <c r="M28" s="27" t="str">
        <f>Scheids!$F$23</f>
        <v>Thom Melissen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BMS J3</v>
      </c>
      <c r="F29" s="45"/>
      <c r="G29" s="45" t="s">
        <v>326</v>
      </c>
      <c r="H29" s="45" t="str">
        <f>$A$41</f>
        <v>Eglantier-B J1</v>
      </c>
      <c r="I29" s="183"/>
      <c r="J29" s="20"/>
      <c r="K29" s="25" t="s">
        <v>326</v>
      </c>
      <c r="L29" s="25"/>
      <c r="M29" s="27" t="str">
        <f>Scheids!$D$23</f>
        <v>Michel vd Vlist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Vermeer J2</v>
      </c>
      <c r="F30" s="45"/>
      <c r="G30" s="45" t="s">
        <v>326</v>
      </c>
      <c r="H30" s="45" t="str">
        <f>$A$45</f>
        <v>Maurits J2</v>
      </c>
      <c r="I30" s="183"/>
      <c r="J30" s="20"/>
      <c r="K30" s="25" t="s">
        <v>326</v>
      </c>
      <c r="L30" s="25"/>
      <c r="M30" s="27" t="str">
        <f>Scheids!$D$23</f>
        <v>Michel vd Vlist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45" t="str">
        <f>$A$48</f>
        <v>M Delft J1</v>
      </c>
      <c r="F31" s="45"/>
      <c r="G31" s="45"/>
      <c r="H31" s="45" t="str">
        <f>$A$44</f>
        <v>BMS J3</v>
      </c>
      <c r="I31" s="183"/>
      <c r="J31" s="20"/>
      <c r="K31" s="25" t="s">
        <v>326</v>
      </c>
      <c r="L31" s="25"/>
      <c r="M31" s="27" t="str">
        <f>Scheids!$D$23</f>
        <v>Michel vd Vlist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Freinet J3</v>
      </c>
      <c r="F32" s="45"/>
      <c r="G32" s="45" t="s">
        <v>326</v>
      </c>
      <c r="H32" s="45" t="str">
        <f>$A$47</f>
        <v>Vermeer J2</v>
      </c>
      <c r="I32" s="183"/>
      <c r="J32" s="20"/>
      <c r="K32" s="25" t="s">
        <v>326</v>
      </c>
      <c r="L32" s="25"/>
      <c r="M32" s="27" t="str">
        <f>Scheids!$F$23</f>
        <v>Thom Melissen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Gabriël J5</v>
      </c>
      <c r="F33" s="45"/>
      <c r="G33" s="45" t="s">
        <v>326</v>
      </c>
      <c r="H33" s="45" t="str">
        <f>$A$46</f>
        <v>Max J3</v>
      </c>
      <c r="I33" s="183"/>
      <c r="J33" s="20"/>
      <c r="K33" s="25" t="s">
        <v>326</v>
      </c>
      <c r="L33" s="25"/>
      <c r="M33" s="27" t="str">
        <f>Scheids!$F$23</f>
        <v>Thom Melissen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Eglantier-B J1</v>
      </c>
      <c r="F34" s="45"/>
      <c r="G34" s="45" t="s">
        <v>326</v>
      </c>
      <c r="H34" s="45" t="str">
        <f>$A$45</f>
        <v>Maurits J2</v>
      </c>
      <c r="I34" s="183"/>
      <c r="J34" s="20"/>
      <c r="K34" s="25" t="s">
        <v>326</v>
      </c>
      <c r="L34" s="25"/>
      <c r="M34" s="27" t="str">
        <f>Scheids!$F$23</f>
        <v>Thom Melissen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45" t="str">
        <f>$A$48</f>
        <v>M Delft J1</v>
      </c>
      <c r="F35" s="45"/>
      <c r="G35" s="45"/>
      <c r="H35" s="45" t="str">
        <f>$A$43</f>
        <v>Freinet J3</v>
      </c>
      <c r="I35" s="183"/>
      <c r="J35" s="20"/>
      <c r="K35" s="25" t="s">
        <v>326</v>
      </c>
      <c r="L35" s="25"/>
      <c r="M35" s="27" t="str">
        <f>Scheids!$D$23</f>
        <v>Michel vd Vlist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Max J3</v>
      </c>
      <c r="F36" s="45"/>
      <c r="G36" s="45" t="s">
        <v>326</v>
      </c>
      <c r="H36" s="45" t="str">
        <f>$A$41</f>
        <v>Eglantier-B J1</v>
      </c>
      <c r="I36" s="183"/>
      <c r="J36" s="20"/>
      <c r="K36" s="25" t="s">
        <v>326</v>
      </c>
      <c r="L36" s="25"/>
      <c r="M36" s="27" t="str">
        <f>Scheids!$D$23</f>
        <v>Michel vd Vlist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Maurits J2</v>
      </c>
      <c r="F37" s="45"/>
      <c r="G37" s="45" t="s">
        <v>326</v>
      </c>
      <c r="H37" s="45" t="str">
        <f>$A$42</f>
        <v>Gabriël J5</v>
      </c>
      <c r="I37" s="183"/>
      <c r="J37" s="20"/>
      <c r="K37" s="25" t="s">
        <v>326</v>
      </c>
      <c r="L37" s="25"/>
      <c r="M37" s="27" t="str">
        <f>Scheids!$F$23</f>
        <v>Thom Melissen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Vermeer J2</v>
      </c>
      <c r="F38" s="43"/>
      <c r="G38" s="43" t="s">
        <v>326</v>
      </c>
      <c r="H38" s="43" t="str">
        <f>$A$44</f>
        <v>BMS J3</v>
      </c>
      <c r="I38" s="184"/>
      <c r="J38" s="31"/>
      <c r="K38" s="36" t="s">
        <v>326</v>
      </c>
      <c r="L38" s="36"/>
      <c r="M38" s="121" t="str">
        <f>Scheids!$F$23</f>
        <v>Thom Melissen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Scholen!$R$24</f>
        <v>Eglantier-B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Scholen!$R$25</f>
        <v>Gabriël J5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Scholen!$R$26</f>
        <v>Freinet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Scholen!$R$27</f>
        <v>BMS J3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Scholen!$R$28</f>
        <v>Maurits J2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Scholen!$R$29</f>
        <v>Max J3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IF(Scholen!$R$30&lt;&gt;"",Scholen!$R$30,"")</f>
        <v>Vermeer J2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IF(Scholen!$R$31&lt;&gt;"",Scholen!$R$31,"")</f>
        <v>M Delft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98A8C-A34D-480B-AA0F-62F841DA931A}">
  <sheetPr codeName="Blad21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Scholen!$B$36</f>
        <v>Jongens</v>
      </c>
      <c r="F8" s="175"/>
      <c r="G8" s="175"/>
      <c r="H8" s="176" t="s">
        <v>1</v>
      </c>
      <c r="I8" s="177" t="str">
        <f>Scholen!$C$34</f>
        <v>S</v>
      </c>
      <c r="J8" s="175" t="s">
        <v>11</v>
      </c>
      <c r="K8" s="228">
        <f>Scholen!$C$35</f>
        <v>19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Bonte Pael J2</v>
      </c>
      <c r="F11" s="99"/>
      <c r="G11" s="99" t="s">
        <v>326</v>
      </c>
      <c r="H11" s="99" t="str">
        <f>$A$42</f>
        <v>Springwijs J7</v>
      </c>
      <c r="I11" s="181"/>
      <c r="J11" s="14"/>
      <c r="K11" s="92" t="s">
        <v>326</v>
      </c>
      <c r="L11" s="16"/>
      <c r="M11" s="17" t="str">
        <f>Scheids!$D$24</f>
        <v>Ronnie Pinas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Schatkaart J1</v>
      </c>
      <c r="F12" s="45"/>
      <c r="G12" s="45" t="s">
        <v>326</v>
      </c>
      <c r="H12" s="45" t="str">
        <f>$A$44</f>
        <v>Rembrandt J2</v>
      </c>
      <c r="I12" s="183"/>
      <c r="J12" s="20"/>
      <c r="K12" s="25" t="s">
        <v>326</v>
      </c>
      <c r="L12" s="26"/>
      <c r="M12" s="27" t="str">
        <f>Scheids!$D$24</f>
        <v>Ronnie Pinas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Mgr. Bekkers J1</v>
      </c>
      <c r="F13" s="45"/>
      <c r="G13" s="45" t="s">
        <v>326</v>
      </c>
      <c r="H13" s="45" t="str">
        <f>$A$46</f>
        <v>Tuin J2</v>
      </c>
      <c r="I13" s="183"/>
      <c r="J13" s="20"/>
      <c r="K13" s="25" t="s">
        <v>326</v>
      </c>
      <c r="L13" s="26"/>
      <c r="M13" s="27" t="str">
        <f>Scheids!$D$24</f>
        <v>Ronnie Pinas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Springwijs J7</v>
      </c>
      <c r="F15" s="45"/>
      <c r="G15" s="45" t="s">
        <v>326</v>
      </c>
      <c r="H15" s="45" t="str">
        <f>$A$43</f>
        <v>Schatkaart J1</v>
      </c>
      <c r="I15" s="183"/>
      <c r="J15" s="20"/>
      <c r="K15" s="25" t="s">
        <v>326</v>
      </c>
      <c r="L15" s="26"/>
      <c r="M15" s="27" t="str">
        <f>Scheids!$F$24</f>
        <v>Danny vd Salm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Rembrandt J2</v>
      </c>
      <c r="F16" s="45"/>
      <c r="G16" s="45" t="s">
        <v>326</v>
      </c>
      <c r="H16" s="45" t="str">
        <f>$A$45</f>
        <v>Mgr. Bekkers J1</v>
      </c>
      <c r="I16" s="183"/>
      <c r="J16" s="20"/>
      <c r="K16" s="25" t="s">
        <v>326</v>
      </c>
      <c r="L16" s="26"/>
      <c r="M16" s="27" t="str">
        <f>Scheids!$F$24</f>
        <v>Danny vd Salm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Tuin J2</v>
      </c>
      <c r="F17" s="45"/>
      <c r="G17" s="45" t="s">
        <v>326</v>
      </c>
      <c r="H17" s="45" t="str">
        <f>$A$47</f>
        <v>Regenboog J2</v>
      </c>
      <c r="I17" s="183"/>
      <c r="J17" s="20"/>
      <c r="K17" s="25" t="s">
        <v>326</v>
      </c>
      <c r="L17" s="26"/>
      <c r="M17" s="27" t="str">
        <f>Scheids!$F$24</f>
        <v>Danny vd Salm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Rembrandt J2</v>
      </c>
      <c r="F19" s="45"/>
      <c r="G19" s="45" t="s">
        <v>326</v>
      </c>
      <c r="H19" s="45" t="str">
        <f>$A$42</f>
        <v>Springwijs J7</v>
      </c>
      <c r="I19" s="183"/>
      <c r="J19" s="20"/>
      <c r="K19" s="25" t="s">
        <v>326</v>
      </c>
      <c r="L19" s="26"/>
      <c r="M19" s="27" t="str">
        <f>Scheids!$D$24</f>
        <v>Ronnie Pinas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Schatkaart J1</v>
      </c>
      <c r="F20" s="45"/>
      <c r="G20" s="45" t="s">
        <v>326</v>
      </c>
      <c r="H20" s="45" t="str">
        <f>$A$45</f>
        <v>Mgr. Bekkers J1</v>
      </c>
      <c r="I20" s="183"/>
      <c r="J20" s="20"/>
      <c r="K20" s="25" t="s">
        <v>326</v>
      </c>
      <c r="L20" s="26"/>
      <c r="M20" s="27" t="str">
        <f>Scheids!$D$24</f>
        <v>Ronnie Pinas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Bonte Pael J2</v>
      </c>
      <c r="F21" s="45"/>
      <c r="G21" s="45" t="s">
        <v>326</v>
      </c>
      <c r="H21" s="45" t="str">
        <f>$A$47</f>
        <v>Regenboog J2</v>
      </c>
      <c r="I21" s="183"/>
      <c r="J21" s="20"/>
      <c r="K21" s="25" t="s">
        <v>326</v>
      </c>
      <c r="L21" s="26"/>
      <c r="M21" s="27" t="str">
        <f>Scheids!$D$24</f>
        <v>Ronnie Pinas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Bonte Pael J2</v>
      </c>
      <c r="F23" s="45"/>
      <c r="G23" s="45" t="s">
        <v>326</v>
      </c>
      <c r="H23" s="45" t="str">
        <f>$A$43</f>
        <v>Schatkaart J1</v>
      </c>
      <c r="I23" s="183"/>
      <c r="J23" s="20"/>
      <c r="K23" s="25" t="s">
        <v>326</v>
      </c>
      <c r="L23" s="26"/>
      <c r="M23" s="27" t="str">
        <f>Scheids!$F$24</f>
        <v>Danny vd Salm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Tuin J2</v>
      </c>
      <c r="F24" s="45"/>
      <c r="G24" s="45" t="s">
        <v>326</v>
      </c>
      <c r="H24" s="45" t="str">
        <f>$A$44</f>
        <v>Rembrandt J2</v>
      </c>
      <c r="I24" s="183"/>
      <c r="J24" s="20"/>
      <c r="K24" s="25" t="s">
        <v>326</v>
      </c>
      <c r="L24" s="26"/>
      <c r="M24" s="27" t="str">
        <f>Scheids!$F$24</f>
        <v>Danny vd Salm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Springwijs J7</v>
      </c>
      <c r="F25" s="45"/>
      <c r="G25" s="45" t="s">
        <v>326</v>
      </c>
      <c r="H25" s="45" t="str">
        <f>$A$47</f>
        <v>Regenboog J2</v>
      </c>
      <c r="I25" s="183"/>
      <c r="J25" s="20"/>
      <c r="K25" s="25" t="s">
        <v>326</v>
      </c>
      <c r="L25" s="26"/>
      <c r="M25" s="27" t="str">
        <f>Scheids!$F$24</f>
        <v>Danny vd Salm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Schatkaart J1</v>
      </c>
      <c r="F27" s="45"/>
      <c r="G27" s="45" t="s">
        <v>326</v>
      </c>
      <c r="H27" s="45" t="str">
        <f>$A$46</f>
        <v>Tuin J2</v>
      </c>
      <c r="I27" s="183"/>
      <c r="J27" s="20"/>
      <c r="K27" s="25" t="s">
        <v>326</v>
      </c>
      <c r="L27" s="26"/>
      <c r="M27" s="27" t="str">
        <f>Scheids!$D$24</f>
        <v>Ronnie Pinas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Rembrandt J2</v>
      </c>
      <c r="F29" s="45"/>
      <c r="G29" s="45" t="s">
        <v>326</v>
      </c>
      <c r="H29" s="45" t="str">
        <f>$A$41</f>
        <v>Bonte Pael J2</v>
      </c>
      <c r="I29" s="183"/>
      <c r="J29" s="20"/>
      <c r="K29" s="25" t="s">
        <v>326</v>
      </c>
      <c r="L29" s="26"/>
      <c r="M29" s="27" t="str">
        <f>Scheids!$D$24</f>
        <v>Ronnie Pinas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Regenboog J2</v>
      </c>
      <c r="F30" s="45"/>
      <c r="G30" s="45" t="s">
        <v>326</v>
      </c>
      <c r="H30" s="45" t="str">
        <f>$A$45</f>
        <v>Mgr. Bekkers J1</v>
      </c>
      <c r="I30" s="183"/>
      <c r="J30" s="20"/>
      <c r="K30" s="25" t="s">
        <v>326</v>
      </c>
      <c r="L30" s="26"/>
      <c r="M30" s="27" t="str">
        <f>Scheids!$D$24</f>
        <v>Ronnie Pinas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Schatkaart J1</v>
      </c>
      <c r="F32" s="45"/>
      <c r="G32" s="45" t="s">
        <v>326</v>
      </c>
      <c r="H32" s="45" t="str">
        <f>$A$47</f>
        <v>Regenboog J2</v>
      </c>
      <c r="I32" s="183"/>
      <c r="J32" s="20"/>
      <c r="K32" s="25" t="s">
        <v>326</v>
      </c>
      <c r="L32" s="26"/>
      <c r="M32" s="27" t="str">
        <f>Scheids!$F$24</f>
        <v>Danny vd Salm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Springwijs J7</v>
      </c>
      <c r="F33" s="45"/>
      <c r="G33" s="45" t="s">
        <v>326</v>
      </c>
      <c r="H33" s="45" t="str">
        <f>$A$46</f>
        <v>Tuin J2</v>
      </c>
      <c r="I33" s="183"/>
      <c r="J33" s="20"/>
      <c r="K33" s="25" t="s">
        <v>326</v>
      </c>
      <c r="L33" s="26"/>
      <c r="M33" s="27" t="str">
        <f>Scheids!$F$24</f>
        <v>Danny vd Salm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Bonte Pael J2</v>
      </c>
      <c r="F34" s="45"/>
      <c r="G34" s="45" t="s">
        <v>326</v>
      </c>
      <c r="H34" s="45" t="str">
        <f>$A$45</f>
        <v>Mgr. Bekkers J1</v>
      </c>
      <c r="I34" s="183"/>
      <c r="J34" s="20"/>
      <c r="K34" s="25" t="s">
        <v>326</v>
      </c>
      <c r="L34" s="26"/>
      <c r="M34" s="27" t="str">
        <f>Scheids!$F$24</f>
        <v>Danny vd Salm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Tuin J2</v>
      </c>
      <c r="F36" s="45"/>
      <c r="G36" s="45" t="s">
        <v>326</v>
      </c>
      <c r="H36" s="45" t="str">
        <f>$A$41</f>
        <v>Bonte Pael J2</v>
      </c>
      <c r="I36" s="183"/>
      <c r="J36" s="20"/>
      <c r="K36" s="25" t="s">
        <v>326</v>
      </c>
      <c r="L36" s="26"/>
      <c r="M36" s="27" t="str">
        <f>Scheids!$D$24</f>
        <v>Ronnie Pinas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Mgr. Bekkers J1</v>
      </c>
      <c r="F37" s="45"/>
      <c r="G37" s="45" t="s">
        <v>326</v>
      </c>
      <c r="H37" s="45" t="str">
        <f>$A$42</f>
        <v>Springwijs J7</v>
      </c>
      <c r="I37" s="183"/>
      <c r="J37" s="20"/>
      <c r="K37" s="25" t="s">
        <v>326</v>
      </c>
      <c r="L37" s="26"/>
      <c r="M37" s="27" t="str">
        <f>Scheids!$F$24</f>
        <v>Danny vd Salm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Regenboog J2</v>
      </c>
      <c r="F38" s="43"/>
      <c r="G38" s="43" t="s">
        <v>326</v>
      </c>
      <c r="H38" s="43" t="str">
        <f>$A$44</f>
        <v>Rembrandt J2</v>
      </c>
      <c r="I38" s="184"/>
      <c r="J38" s="31"/>
      <c r="K38" s="36" t="s">
        <v>326</v>
      </c>
      <c r="L38" s="37"/>
      <c r="M38" s="121" t="str">
        <f>Scheids!$F$24</f>
        <v>Danny vd Salm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Scholen!$B$38</f>
        <v>Bonte Pael J2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Scholen!$B$39</f>
        <v>Springwijs J7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Scholen!$B$40</f>
        <v>Schatkaart J1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Scholen!$B$41</f>
        <v>Rembrandt J2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Scholen!$B$42</f>
        <v>Mgr. Bekkers J1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Scholen!$B$43</f>
        <v>Tuin J2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IF(Scholen!$B$44&lt;&gt;"",Scholen!$B$44,"")</f>
        <v>Regenboog J2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IF(Scholen!$B$45&lt;&gt;"",Scholen!$B$45,"")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3BB43-10FB-459B-AB45-B6042D5D2FE1}">
  <sheetPr codeName="Blad22"/>
  <dimension ref="A1:X48"/>
  <sheetViews>
    <sheetView topLeftCell="A12" zoomScaleNormal="100" workbookViewId="0">
      <selection activeCell="M25" sqref="M25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77"/>
      <c r="E8" s="172">
        <f>Scholen!$D$36</f>
        <v>0</v>
      </c>
      <c r="F8" s="77"/>
      <c r="G8" s="77"/>
      <c r="H8" s="176" t="s">
        <v>1</v>
      </c>
      <c r="I8" s="177" t="str">
        <f>Scholen!$E$34</f>
        <v>T</v>
      </c>
      <c r="J8" s="175" t="s">
        <v>11</v>
      </c>
      <c r="K8" s="228">
        <f>Scholen!$E$35</f>
        <v>20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/>
      <c r="K11" s="92" t="s">
        <v>326</v>
      </c>
      <c r="L11" s="16"/>
      <c r="M11" s="17" t="str">
        <f>Scheids!$D$25</f>
        <v>John de Letter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/>
      <c r="K12" s="25" t="s">
        <v>326</v>
      </c>
      <c r="L12" s="26"/>
      <c r="M12" s="27" t="str">
        <f>Scheids!$D$25</f>
        <v>John de Letter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/>
      <c r="K13" s="25" t="s">
        <v>326</v>
      </c>
      <c r="L13" s="26"/>
      <c r="M13" s="27" t="str">
        <f>Scheids!$D$25</f>
        <v>John de Letter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/>
      <c r="K15" s="25" t="s">
        <v>326</v>
      </c>
      <c r="L15" s="26"/>
      <c r="M15" s="27">
        <f>Scheids!$F$25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/>
      <c r="K16" s="25" t="s">
        <v>326</v>
      </c>
      <c r="L16" s="26"/>
      <c r="M16" s="27">
        <f>Scheids!$F$25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/>
      <c r="K17" s="25" t="s">
        <v>326</v>
      </c>
      <c r="L17" s="26"/>
      <c r="M17" s="27">
        <f>Scheids!$F$25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/>
      <c r="K19" s="25" t="s">
        <v>326</v>
      </c>
      <c r="L19" s="26"/>
      <c r="M19" s="27" t="str">
        <f>Scheids!$D$25</f>
        <v>John de Letter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/>
      <c r="K20" s="25" t="s">
        <v>326</v>
      </c>
      <c r="L20" s="26"/>
      <c r="M20" s="27" t="str">
        <f>Scheids!$D$25</f>
        <v>John de Letter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/>
      <c r="K21" s="25" t="s">
        <v>326</v>
      </c>
      <c r="L21" s="26"/>
      <c r="M21" s="27" t="str">
        <f>Scheids!$D$25</f>
        <v>John de Letter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/>
      <c r="K23" s="25" t="s">
        <v>326</v>
      </c>
      <c r="L23" s="26"/>
      <c r="M23" s="27">
        <f>Scheids!$F$25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/>
      <c r="K24" s="25" t="s">
        <v>326</v>
      </c>
      <c r="L24" s="26"/>
      <c r="M24" s="27">
        <f>Scheids!$F$25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/>
      <c r="K25" s="25" t="s">
        <v>326</v>
      </c>
      <c r="L25" s="26"/>
      <c r="M25" s="27">
        <f>Scheids!$F$25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/>
      <c r="K27" s="25" t="s">
        <v>326</v>
      </c>
      <c r="L27" s="26"/>
      <c r="M27" s="27" t="str">
        <f>Scheids!$D$25</f>
        <v>John de Letter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/>
      <c r="K29" s="25" t="s">
        <v>326</v>
      </c>
      <c r="L29" s="26"/>
      <c r="M29" s="27" t="str">
        <f>Scheids!$D$25</f>
        <v>John de Letter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/>
      <c r="K30" s="25" t="s">
        <v>326</v>
      </c>
      <c r="L30" s="26"/>
      <c r="M30" s="27" t="str">
        <f>Scheids!$D$25</f>
        <v>John de Letter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/>
      <c r="K32" s="25" t="s">
        <v>326</v>
      </c>
      <c r="L32" s="26"/>
      <c r="M32" s="27">
        <f>Scheids!$F$25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/>
      <c r="K33" s="25" t="s">
        <v>326</v>
      </c>
      <c r="L33" s="26"/>
      <c r="M33" s="27">
        <f>Scheids!$F$25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/>
      <c r="K34" s="25" t="s">
        <v>326</v>
      </c>
      <c r="L34" s="26"/>
      <c r="M34" s="27">
        <f>Scheids!$F$25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/>
      <c r="K36" s="25" t="s">
        <v>326</v>
      </c>
      <c r="L36" s="26"/>
      <c r="M36" s="27" t="str">
        <f>Scheids!$D$25</f>
        <v>John de Letter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/>
      <c r="K37" s="25" t="s">
        <v>326</v>
      </c>
      <c r="L37" s="26"/>
      <c r="M37" s="27">
        <f>Scheids!$F$25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/>
      <c r="K38" s="36" t="s">
        <v>326</v>
      </c>
      <c r="L38" s="37"/>
      <c r="M38" s="121">
        <f>Scheids!$F$25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42">
        <f>Scholen!$D$38</f>
        <v>0</v>
      </c>
      <c r="B41" s="214"/>
      <c r="C41" s="214"/>
      <c r="D41" s="18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>IF(O41&lt;&gt;"",_xlfn.RANK.EQ(O41,$O$41:$O$48),"")</f>
        <v/>
      </c>
    </row>
    <row r="42" spans="1:24" ht="18.75" customHeight="1" x14ac:dyDescent="0.25">
      <c r="A42" s="138">
        <f>Scholen!$D$39</f>
        <v>0</v>
      </c>
      <c r="B42" s="213"/>
      <c r="C42" s="213"/>
      <c r="D42" s="139"/>
      <c r="E42" s="139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ref="X42:X48" si="4">IF(O42&lt;&gt;"",_xlfn.RANK.EQ(O42,$O$41:$O$48),"")</f>
        <v/>
      </c>
    </row>
    <row r="43" spans="1:24" ht="18.75" customHeight="1" x14ac:dyDescent="0.25">
      <c r="A43" s="138">
        <f>Scholen!$D$40</f>
        <v>0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1"/>
        <v>0</v>
      </c>
      <c r="S43" s="82">
        <f t="shared" si="2"/>
        <v>0</v>
      </c>
      <c r="T43" s="82">
        <f t="shared" si="3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4"/>
        <v/>
      </c>
    </row>
    <row r="44" spans="1:24" ht="18.75" customHeight="1" x14ac:dyDescent="0.25">
      <c r="A44" s="138">
        <f>Scholen!$D$41</f>
        <v>0</v>
      </c>
      <c r="B44" s="213"/>
      <c r="C44" s="213"/>
      <c r="D44" s="139"/>
      <c r="E44" s="139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1"/>
        <v>0</v>
      </c>
      <c r="S44" s="82">
        <f t="shared" si="2"/>
        <v>0</v>
      </c>
      <c r="T44" s="82">
        <f t="shared" si="3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4"/>
        <v/>
      </c>
    </row>
    <row r="45" spans="1:24" ht="18.75" customHeight="1" x14ac:dyDescent="0.25">
      <c r="A45" s="143">
        <f>Scholen!$D$42</f>
        <v>0</v>
      </c>
      <c r="B45" s="144"/>
      <c r="C45" s="144"/>
      <c r="D45" s="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1"/>
        <v>0</v>
      </c>
      <c r="S45" s="82">
        <f t="shared" si="2"/>
        <v>0</v>
      </c>
      <c r="T45" s="82">
        <f t="shared" si="3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4"/>
        <v/>
      </c>
    </row>
    <row r="46" spans="1:24" ht="18.75" customHeight="1" x14ac:dyDescent="0.25">
      <c r="A46" s="138">
        <f>Scholen!$D$43</f>
        <v>0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1"/>
        <v>0</v>
      </c>
      <c r="S46" s="82">
        <f t="shared" si="2"/>
        <v>0</v>
      </c>
      <c r="T46" s="82">
        <f t="shared" si="3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4"/>
        <v/>
      </c>
    </row>
    <row r="47" spans="1:24" ht="18.75" customHeight="1" x14ac:dyDescent="0.25">
      <c r="A47" s="138" t="str">
        <f>IF(Scholen!$D$44&lt;&gt;"",Scholen!$D$44,"")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1"/>
        <v>0</v>
      </c>
      <c r="S47" s="82">
        <f t="shared" si="2"/>
        <v>0</v>
      </c>
      <c r="T47" s="82">
        <f t="shared" si="3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4"/>
        <v/>
      </c>
    </row>
    <row r="48" spans="1:24" ht="18.75" customHeight="1" x14ac:dyDescent="0.25">
      <c r="A48" s="138" t="str">
        <f>IF(Scholen!$D$45&lt;&gt;"",Scholen!$D$45,"")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65E61-7FC3-43D6-8304-50258F59FACD}">
  <sheetPr codeName="Blad25"/>
  <dimension ref="A1:X48"/>
  <sheetViews>
    <sheetView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">
        <v>0</v>
      </c>
      <c r="B8" s="172"/>
      <c r="C8" s="172"/>
      <c r="D8" s="175"/>
      <c r="E8" s="172">
        <f>Scholen!$F$36</f>
        <v>0</v>
      </c>
      <c r="F8" s="175"/>
      <c r="G8" s="175"/>
      <c r="H8" s="176" t="s">
        <v>1</v>
      </c>
      <c r="I8" s="177" t="str">
        <f>Scholen!$G$34</f>
        <v>U</v>
      </c>
      <c r="J8" s="175" t="s">
        <v>11</v>
      </c>
      <c r="K8" s="228">
        <f>Scholen!$G$35</f>
        <v>21</v>
      </c>
      <c r="L8" s="228"/>
      <c r="M8" s="176"/>
      <c r="N8" s="222">
        <v>45385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Scheids!$D$26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Scheids!$D$26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Scheids!$D$26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Scheids!$F$26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Scheids!$F$26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Scheids!$F$26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Scheids!$D$26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Scheids!$D$26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Scheids!$D$26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Scheids!$F$26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Scheids!$F$26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Scheids!$F$26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Scheids!$D$26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Scheids!$D$26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Scheids!$D$26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Scheids!$F$26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Scheids!$F$26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Scheids!$F$26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Scheids!$D$26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Scheids!$F$26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Scheids!$F$26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Scholen!$F$38</f>
        <v>0</v>
      </c>
      <c r="B41" s="213"/>
      <c r="C41" s="213"/>
      <c r="D41" s="139"/>
      <c r="E41" s="139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Scholen!$F$39</f>
        <v>0</v>
      </c>
      <c r="B42" s="214"/>
      <c r="C42" s="214"/>
      <c r="D42" s="18"/>
      <c r="E42" s="139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Scholen!$F$40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Scholen!$F$41</f>
        <v>0</v>
      </c>
      <c r="B44" s="144"/>
      <c r="C44" s="144"/>
      <c r="D44" s="39"/>
      <c r="E44" s="139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Scholen!$F$42</f>
        <v>0</v>
      </c>
      <c r="B45" s="213"/>
      <c r="C45" s="213"/>
      <c r="D45" s="139"/>
      <c r="E45" s="18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Scholen!$F$43</f>
        <v>0</v>
      </c>
      <c r="B46" s="213"/>
      <c r="C46" s="213"/>
      <c r="D46" s="139"/>
      <c r="E46" s="139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IF(Scholen!$F$44&lt;&gt;"",Scholen!$F$44,"")</f>
        <v/>
      </c>
      <c r="B47" s="213"/>
      <c r="C47" s="213"/>
      <c r="D47" s="139"/>
      <c r="E47" s="208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IF(Scholen!$F$45&lt;&gt;"",Scholen!$F$45,"")</f>
        <v/>
      </c>
      <c r="B48" s="213"/>
      <c r="C48" s="213"/>
      <c r="D48" s="139"/>
      <c r="E48" s="39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15A8B-499F-4312-93A7-CB27D6C9781F}">
  <sheetPr codeName="Blad24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Scholen!$H$36</f>
        <v>0</v>
      </c>
      <c r="F8" s="175"/>
      <c r="G8" s="175"/>
      <c r="H8" s="176" t="s">
        <v>1</v>
      </c>
      <c r="I8" s="177" t="str">
        <f>Scholen!$I$34</f>
        <v>V</v>
      </c>
      <c r="J8" s="175" t="s">
        <v>11</v>
      </c>
      <c r="K8" s="228">
        <f>Scholen!$I$35</f>
        <v>22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Scheids!$D$27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Scheids!$D$27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Scheids!$D$27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Scheids!$F$27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Scheids!$F$27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Scheids!$F$27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Scheids!$D$27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Scheids!$D$27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Scheids!$D$27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Scheids!$F$27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Scheids!$F$27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Scheids!$F$27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Scheids!$D$27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Scheids!$D$27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Scheids!$D$27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Scheids!$F$27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Scheids!$F$27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Scheids!$F$27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Scheids!$D$27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Scheids!$F$27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Scheids!$F$27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Scholen!$H$38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Scholen!$H$39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Scholen!$H$40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Scholen!$H$41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Scholen!$H$42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Scholen!$H$43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IF(Scholen!$H$44&lt;&gt;"",Scholen!$H$44,"")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IF(Scholen!$H$45&lt;&gt;"",Scholen!$H$45,"")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C2748-AC0D-4896-911D-5A91591DE89A}">
  <sheetPr codeName="Blad23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Scholen!$J$36</f>
        <v>0</v>
      </c>
      <c r="F8" s="175"/>
      <c r="G8" s="175"/>
      <c r="H8" s="176" t="s">
        <v>1</v>
      </c>
      <c r="I8" s="177" t="str">
        <f>Scholen!$K$34</f>
        <v>W</v>
      </c>
      <c r="J8" s="175" t="s">
        <v>11</v>
      </c>
      <c r="K8" s="228">
        <f>Scholen!$K$35</f>
        <v>23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Scheids!$D$28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Scheids!$D$28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Scheids!$D$28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Scheids!$F$28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Scheids!$F$28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Scheids!$F$28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Scheids!$D$28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Scheids!$D$28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Scheids!$D$28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Scheids!$F$28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Scheids!$F$28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Scheids!$F$28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Scheids!$D$28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Scheids!$D$28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Scheids!$D$28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Scheids!$F$28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Scheids!$F$28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Scheids!$F$28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Scheids!$D$28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Scheids!$F$28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Scheids!$F$28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Scholen!$J$38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Scholen!$J$39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Scholen!$J$40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Scholen!$J$41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Scholen!$J$42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Scholen!$J$43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IF(Scholen!$J$44&lt;&gt;"",Scholen!$J$44,"")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IF(Scholen!$J$45&lt;&gt;"",Scholen!$J$45,"")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695F1-1D81-4E19-965D-A6807524AD12}">
  <sheetPr codeName="Blad28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Scholen!$L$36</f>
        <v>0</v>
      </c>
      <c r="F8" s="175"/>
      <c r="G8" s="175"/>
      <c r="H8" s="176" t="s">
        <v>1</v>
      </c>
      <c r="I8" s="177" t="str">
        <f>Scholen!$M$34</f>
        <v>X</v>
      </c>
      <c r="J8" s="175" t="s">
        <v>11</v>
      </c>
      <c r="K8" s="228">
        <f>Scholen!$M$35</f>
        <v>24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Scheids!$D$29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Scheids!$D$29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Scheids!$D$29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Scheids!$F$29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Scheids!$F$29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Scheids!$F$29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Scheids!$D$29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Scheids!$D$29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Scheids!$D$29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Scheids!$F$29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Scheids!$F$29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Scheids!$F$29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Scheids!$D$29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Scheids!$D$29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Scheids!$D$29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Scheids!$F$29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Scheids!$F$29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Scheids!$F$29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Scheids!$D$29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Scheids!$F$29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Scheids!$F$29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Scholen!$L$38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Scholen!$L$39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Scholen!$L$40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Scholen!$L$41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Scholen!$L$42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Scholen!$L$43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IF(Scholen!$L$44&lt;&gt;"",Scholen!$L$44,"")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IF(Scholen!$L$45&lt;&gt;"",Scholen!$L$45,"")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EC4CC-B3F4-4D76-89E7-DFFEF77BE470}">
  <sheetPr codeName="Blad29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Scholen!$N$36</f>
        <v>0</v>
      </c>
      <c r="F8" s="175"/>
      <c r="G8" s="175"/>
      <c r="H8" s="176" t="s">
        <v>1</v>
      </c>
      <c r="I8" s="177" t="str">
        <f>Scholen!$O$34</f>
        <v>Y</v>
      </c>
      <c r="J8" s="175" t="s">
        <v>11</v>
      </c>
      <c r="K8" s="228">
        <f>Scholen!$O$35</f>
        <v>25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Scheids!$D$30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Scheids!$D$30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Scheids!$D$30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Scheids!$F$30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Scheids!$F$30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Scheids!$F$30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Scheids!$D$30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Scheids!$D$30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Scheids!$D$30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Scheids!$F$30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Scheids!$F$30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Scheids!$F$30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Scheids!$D$30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Scheids!$D$30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Scheids!$D$30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Scheids!$F$30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Scheids!$F$30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Scheids!$F$30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Scheids!$D$30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Scheids!$F$30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Scheids!$F$30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Scholen!$N$38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Scholen!$N$39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Scholen!$N$40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Scholen!$N$41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Scholen!$N$42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Scholen!$N$43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IF(Scholen!$N$44&lt;&gt;"",Scholen!$N$44,"")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IF(Scholen!$N$45&lt;&gt;"",Scholen!$N$45,"")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4374-985A-4CD5-85C7-227679604426}">
  <sheetPr codeName="Blad30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Scholen!$P$36</f>
        <v>0</v>
      </c>
      <c r="F8" s="175"/>
      <c r="G8" s="175"/>
      <c r="H8" s="176" t="s">
        <v>1</v>
      </c>
      <c r="I8" s="177" t="str">
        <f>Scholen!$Q$34</f>
        <v>Z</v>
      </c>
      <c r="J8" s="175" t="s">
        <v>11</v>
      </c>
      <c r="K8" s="228">
        <f>Scholen!$Q$35</f>
        <v>26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Scheids!$D$31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Scheids!$D$31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Scheids!$D$31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Scheids!$F$31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Scheids!$F$31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Scheids!$F$31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Scheids!$D$31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Scheids!$D$31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Scheids!$D$31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Scheids!$F$31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Scheids!$F$31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Scheids!$F$31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Scheids!$D$31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Scheids!$D$31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Scheids!$D$31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Scheids!$F$31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Scheids!$F$31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Scheids!$F$31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Scheids!$D$31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Scheids!$F$31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Scheids!$F$31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Scholen!$P$38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Scholen!$P$39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Scholen!$P$40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Scholen!$P$41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Scholen!$P$42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Scholen!$P$43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IF(Scholen!$P$44&lt;&gt;"",Scholen!$P$44,"")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IF(Scholen!$P$45&lt;&gt;"",Scholen!$P$45,"")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2DB0F-5D54-4EA1-9862-070EB8CD916D}">
  <sheetPr codeName="Blad31"/>
  <dimension ref="A1:V43"/>
  <sheetViews>
    <sheetView showGridLines="0" topLeftCell="A26" zoomScaleNormal="100" workbookViewId="0">
      <selection activeCell="T22" sqref="T22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1" width="5.7109375" style="2" customWidth="1"/>
    <col min="12" max="12" width="2.42578125" style="2" customWidth="1"/>
    <col min="13" max="13" width="5.7109375" style="2" customWidth="1"/>
    <col min="14" max="14" width="2.7109375" style="2" customWidth="1"/>
    <col min="15" max="16" width="10.7109375" style="2" customWidth="1"/>
    <col min="17" max="19" width="9.140625" style="2"/>
    <col min="20" max="20" width="19" style="2" bestFit="1" customWidth="1"/>
    <col min="21" max="21" width="9.5703125" style="2" bestFit="1" customWidth="1"/>
    <col min="22" max="22" width="16.85546875" style="2" bestFit="1" customWidth="1"/>
    <col min="23" max="23" width="10.5703125" style="2" bestFit="1" customWidth="1"/>
    <col min="24" max="16384" width="9.140625" style="2"/>
  </cols>
  <sheetData>
    <row r="1" spans="1:22" ht="20.25" x14ac:dyDescent="0.3">
      <c r="A1" s="1" t="s">
        <v>314</v>
      </c>
      <c r="I1" s="46" t="s">
        <v>315</v>
      </c>
    </row>
    <row r="2" spans="1:22" ht="16.5" x14ac:dyDescent="0.3">
      <c r="A2" s="3" t="s">
        <v>316</v>
      </c>
    </row>
    <row r="3" spans="1:22" ht="16.5" x14ac:dyDescent="0.3">
      <c r="A3" s="3" t="s">
        <v>317</v>
      </c>
    </row>
    <row r="4" spans="1:22" ht="16.5" x14ac:dyDescent="0.3">
      <c r="A4" s="3" t="s">
        <v>318</v>
      </c>
    </row>
    <row r="5" spans="1:22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1:22" ht="16.5" x14ac:dyDescent="0.3">
      <c r="A6" s="3"/>
    </row>
    <row r="8" spans="1:22" ht="18.75" customHeight="1" x14ac:dyDescent="0.2">
      <c r="A8" s="229" t="str">
        <f>Scholen!B3</f>
        <v>Groep 7/8</v>
      </c>
      <c r="B8" s="230"/>
      <c r="C8" s="230"/>
      <c r="D8" s="230"/>
      <c r="E8" s="231" t="s">
        <v>338</v>
      </c>
      <c r="F8" s="231"/>
      <c r="G8" s="231"/>
      <c r="H8" s="231"/>
      <c r="I8" s="231"/>
      <c r="J8" s="231"/>
      <c r="K8" s="231"/>
      <c r="L8" s="231"/>
      <c r="M8" s="231"/>
      <c r="N8" s="231"/>
      <c r="O8" s="222">
        <f>Scholen!D3</f>
        <v>46113</v>
      </c>
      <c r="P8" s="223"/>
    </row>
    <row r="9" spans="1:22" ht="18" x14ac:dyDescent="0.2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2">
      <c r="A10" s="95"/>
      <c r="B10" s="95"/>
      <c r="C10" s="96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6"/>
      <c r="V10" s="60"/>
    </row>
    <row r="11" spans="1:22" ht="18" x14ac:dyDescent="0.2">
      <c r="A11" s="49"/>
      <c r="B11" s="49"/>
      <c r="C11" s="50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50"/>
      <c r="V11" s="60"/>
    </row>
    <row r="12" spans="1:22" ht="18" x14ac:dyDescent="0.2">
      <c r="A12" s="42" t="s">
        <v>339</v>
      </c>
      <c r="B12" s="51"/>
      <c r="C12" s="52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2"/>
      <c r="V12" s="60"/>
    </row>
    <row r="13" spans="1:22" ht="18.75" customHeight="1" x14ac:dyDescent="0.2">
      <c r="A13" s="10" t="s">
        <v>321</v>
      </c>
      <c r="B13" s="224" t="s">
        <v>322</v>
      </c>
      <c r="C13" s="224"/>
      <c r="D13" s="224"/>
      <c r="E13" s="85" t="s">
        <v>323</v>
      </c>
      <c r="F13" s="94"/>
      <c r="G13" s="94"/>
      <c r="H13" s="171"/>
      <c r="I13" s="86"/>
      <c r="J13" s="216" t="s">
        <v>11</v>
      </c>
      <c r="K13" s="225" t="s">
        <v>324</v>
      </c>
      <c r="L13" s="226"/>
      <c r="M13" s="227"/>
      <c r="N13" s="212" t="s">
        <v>274</v>
      </c>
      <c r="O13" s="171"/>
      <c r="P13" s="12"/>
    </row>
    <row r="14" spans="1:22" ht="18.75" customHeight="1" x14ac:dyDescent="0.2">
      <c r="A14" s="13">
        <v>29</v>
      </c>
      <c r="B14" s="107">
        <v>0.71875</v>
      </c>
      <c r="C14" s="89" t="s">
        <v>326</v>
      </c>
      <c r="D14" s="108">
        <v>0.72291666666666665</v>
      </c>
      <c r="E14" s="112" t="s">
        <v>340</v>
      </c>
      <c r="F14" s="113"/>
      <c r="G14" s="92" t="s">
        <v>326</v>
      </c>
      <c r="H14" s="117" t="s">
        <v>341</v>
      </c>
      <c r="I14" s="15"/>
      <c r="J14" s="89">
        <v>1</v>
      </c>
      <c r="K14" s="14"/>
      <c r="L14" s="92" t="s">
        <v>326</v>
      </c>
      <c r="M14" s="16"/>
      <c r="N14" s="195" t="s">
        <v>311</v>
      </c>
      <c r="O14" s="93"/>
      <c r="P14" s="18"/>
    </row>
    <row r="15" spans="1:22" ht="18.75" customHeight="1" x14ac:dyDescent="0.2">
      <c r="A15" s="19">
        <v>30</v>
      </c>
      <c r="B15" s="20"/>
      <c r="C15" s="21"/>
      <c r="D15" s="21"/>
      <c r="E15" s="115" t="s">
        <v>342</v>
      </c>
      <c r="F15" s="116"/>
      <c r="G15" s="25" t="s">
        <v>326</v>
      </c>
      <c r="H15" s="117" t="s">
        <v>343</v>
      </c>
      <c r="I15" s="24"/>
      <c r="J15" s="21">
        <v>2</v>
      </c>
      <c r="K15" s="20"/>
      <c r="L15" s="25" t="s">
        <v>326</v>
      </c>
      <c r="M15" s="26"/>
      <c r="N15" s="196" t="s">
        <v>300</v>
      </c>
      <c r="O15" s="28"/>
      <c r="P15" s="29"/>
    </row>
    <row r="16" spans="1:22" ht="18.75" customHeight="1" x14ac:dyDescent="0.2">
      <c r="A16" s="19">
        <v>31</v>
      </c>
      <c r="B16" s="20"/>
      <c r="C16" s="21"/>
      <c r="D16" s="21"/>
      <c r="E16" s="115" t="s">
        <v>344</v>
      </c>
      <c r="F16" s="116"/>
      <c r="G16" s="25" t="s">
        <v>326</v>
      </c>
      <c r="H16" s="117" t="s">
        <v>345</v>
      </c>
      <c r="I16" s="24"/>
      <c r="J16" s="21">
        <v>3</v>
      </c>
      <c r="K16" s="20"/>
      <c r="L16" s="25" t="s">
        <v>326</v>
      </c>
      <c r="M16" s="26"/>
      <c r="N16" s="198" t="s">
        <v>307</v>
      </c>
      <c r="O16" s="28"/>
      <c r="P16" s="29"/>
    </row>
    <row r="17" spans="1:22" ht="18.75" customHeight="1" x14ac:dyDescent="0.2">
      <c r="A17" s="19">
        <v>32</v>
      </c>
      <c r="B17" s="20"/>
      <c r="C17" s="21"/>
      <c r="D17" s="21"/>
      <c r="E17" s="115" t="s">
        <v>346</v>
      </c>
      <c r="F17" s="116"/>
      <c r="G17" s="25" t="s">
        <v>326</v>
      </c>
      <c r="H17" s="117" t="s">
        <v>347</v>
      </c>
      <c r="I17" s="24"/>
      <c r="J17" s="21">
        <v>4</v>
      </c>
      <c r="K17" s="20"/>
      <c r="L17" s="25" t="s">
        <v>326</v>
      </c>
      <c r="M17" s="26"/>
      <c r="N17" s="196" t="s">
        <v>306</v>
      </c>
      <c r="O17" s="28"/>
      <c r="P17" s="29"/>
    </row>
    <row r="18" spans="1:22" ht="18.75" customHeight="1" x14ac:dyDescent="0.2">
      <c r="A18" s="19">
        <v>33</v>
      </c>
      <c r="B18" s="20"/>
      <c r="C18" s="21"/>
      <c r="D18" s="21"/>
      <c r="E18" s="115" t="s">
        <v>348</v>
      </c>
      <c r="F18" s="116"/>
      <c r="G18" s="25" t="s">
        <v>326</v>
      </c>
      <c r="H18" s="117" t="s">
        <v>349</v>
      </c>
      <c r="I18" s="24"/>
      <c r="J18" s="21">
        <v>5</v>
      </c>
      <c r="K18" s="20"/>
      <c r="L18" s="25" t="s">
        <v>326</v>
      </c>
      <c r="M18" s="26"/>
      <c r="N18" s="196" t="s">
        <v>350</v>
      </c>
      <c r="O18" s="28"/>
      <c r="P18" s="29"/>
      <c r="Q18" s="2" t="s">
        <v>351</v>
      </c>
      <c r="T18" s="28"/>
      <c r="U18" s="44"/>
      <c r="V18" s="44"/>
    </row>
    <row r="19" spans="1:22" ht="18.75" customHeight="1" x14ac:dyDescent="0.2">
      <c r="A19" s="19">
        <v>34</v>
      </c>
      <c r="B19" s="20"/>
      <c r="C19" s="21"/>
      <c r="D19" s="21"/>
      <c r="E19" s="115" t="s">
        <v>352</v>
      </c>
      <c r="F19" s="116"/>
      <c r="G19" s="25" t="s">
        <v>326</v>
      </c>
      <c r="H19" s="117" t="s">
        <v>353</v>
      </c>
      <c r="I19" s="24"/>
      <c r="J19" s="21">
        <v>6</v>
      </c>
      <c r="K19" s="20"/>
      <c r="L19" s="25" t="s">
        <v>326</v>
      </c>
      <c r="M19" s="26"/>
      <c r="N19" s="196" t="s">
        <v>299</v>
      </c>
      <c r="O19" s="28"/>
      <c r="P19" s="29"/>
      <c r="T19" s="28"/>
      <c r="U19" s="44"/>
      <c r="V19" s="44"/>
    </row>
    <row r="20" spans="1:22" ht="18.75" customHeight="1" x14ac:dyDescent="0.2">
      <c r="A20" s="19">
        <v>35</v>
      </c>
      <c r="B20" s="20"/>
      <c r="C20" s="21"/>
      <c r="D20" s="21"/>
      <c r="E20" s="115" t="s">
        <v>354</v>
      </c>
      <c r="F20" s="116"/>
      <c r="G20" s="25" t="s">
        <v>326</v>
      </c>
      <c r="H20" s="117" t="s">
        <v>355</v>
      </c>
      <c r="I20" s="24"/>
      <c r="J20" s="21">
        <v>7</v>
      </c>
      <c r="K20" s="20"/>
      <c r="L20" s="25" t="s">
        <v>326</v>
      </c>
      <c r="M20" s="26"/>
      <c r="N20" s="196" t="s">
        <v>356</v>
      </c>
      <c r="O20" s="28"/>
      <c r="P20" s="29"/>
      <c r="T20" s="28"/>
      <c r="U20" s="44"/>
      <c r="V20" s="44"/>
    </row>
    <row r="21" spans="1:22" ht="18.75" customHeight="1" x14ac:dyDescent="0.2">
      <c r="A21" s="19">
        <v>36</v>
      </c>
      <c r="B21" s="20"/>
      <c r="C21" s="21"/>
      <c r="D21" s="21"/>
      <c r="E21" s="115" t="s">
        <v>357</v>
      </c>
      <c r="F21" s="116"/>
      <c r="G21" s="25" t="s">
        <v>326</v>
      </c>
      <c r="H21" s="117" t="s">
        <v>358</v>
      </c>
      <c r="I21" s="24"/>
      <c r="J21" s="21">
        <v>8</v>
      </c>
      <c r="K21" s="20"/>
      <c r="L21" s="25" t="s">
        <v>326</v>
      </c>
      <c r="M21" s="26"/>
      <c r="N21" s="196" t="s">
        <v>296</v>
      </c>
      <c r="O21" s="28"/>
      <c r="P21" s="29"/>
      <c r="T21" s="28"/>
      <c r="U21" s="44"/>
      <c r="V21" s="44"/>
    </row>
    <row r="22" spans="1:22" ht="18.75" customHeight="1" x14ac:dyDescent="0.2">
      <c r="A22" s="53">
        <v>37</v>
      </c>
      <c r="B22" s="20"/>
      <c r="C22" s="21"/>
      <c r="D22" s="22"/>
      <c r="E22" s="117" t="s">
        <v>359</v>
      </c>
      <c r="F22" s="116"/>
      <c r="G22" s="25" t="s">
        <v>326</v>
      </c>
      <c r="H22" s="117" t="s">
        <v>360</v>
      </c>
      <c r="I22" s="24"/>
      <c r="J22" s="105">
        <v>9</v>
      </c>
      <c r="K22" s="21"/>
      <c r="L22" s="25" t="s">
        <v>326</v>
      </c>
      <c r="M22" s="25"/>
      <c r="N22" s="196" t="s">
        <v>361</v>
      </c>
      <c r="O22" s="28"/>
      <c r="P22" s="29"/>
      <c r="T22" s="28"/>
      <c r="U22" s="44"/>
      <c r="V22" s="44"/>
    </row>
    <row r="23" spans="1:22" ht="18.75" customHeight="1" x14ac:dyDescent="0.25">
      <c r="A23" s="53">
        <v>38</v>
      </c>
      <c r="B23" s="20"/>
      <c r="C23" s="21"/>
      <c r="D23" s="22"/>
      <c r="E23" s="117" t="s">
        <v>362</v>
      </c>
      <c r="F23" s="116"/>
      <c r="G23" s="25" t="s">
        <v>326</v>
      </c>
      <c r="H23" s="117" t="s">
        <v>363</v>
      </c>
      <c r="I23" s="24"/>
      <c r="J23" s="105">
        <v>10</v>
      </c>
      <c r="K23" s="21"/>
      <c r="L23" s="25" t="s">
        <v>326</v>
      </c>
      <c r="M23" s="25"/>
      <c r="N23" s="196" t="s">
        <v>294</v>
      </c>
      <c r="O23" s="28"/>
      <c r="P23" s="29"/>
      <c r="T23" s="41"/>
      <c r="U23" s="44"/>
    </row>
    <row r="24" spans="1:22" ht="18.75" customHeight="1" x14ac:dyDescent="0.2">
      <c r="A24" s="53">
        <v>39</v>
      </c>
      <c r="B24" s="20"/>
      <c r="C24" s="21"/>
      <c r="D24" s="22"/>
      <c r="E24" s="117" t="s">
        <v>364</v>
      </c>
      <c r="F24" s="116"/>
      <c r="G24" s="25" t="s">
        <v>326</v>
      </c>
      <c r="H24" s="117" t="s">
        <v>365</v>
      </c>
      <c r="I24" s="24"/>
      <c r="J24" s="105">
        <v>11</v>
      </c>
      <c r="K24" s="21"/>
      <c r="L24" s="25" t="s">
        <v>326</v>
      </c>
      <c r="M24" s="25"/>
      <c r="N24" s="196" t="s">
        <v>290</v>
      </c>
      <c r="O24" s="28"/>
      <c r="P24" s="29"/>
      <c r="T24" s="28"/>
      <c r="U24" s="44"/>
      <c r="V24" s="44"/>
    </row>
    <row r="25" spans="1:22" ht="18.75" customHeight="1" x14ac:dyDescent="0.2">
      <c r="A25" s="53">
        <v>40</v>
      </c>
      <c r="B25" s="20"/>
      <c r="C25" s="21"/>
      <c r="D25" s="22"/>
      <c r="E25" s="117" t="s">
        <v>366</v>
      </c>
      <c r="F25" s="116"/>
      <c r="G25" s="25" t="s">
        <v>326</v>
      </c>
      <c r="H25" s="117" t="s">
        <v>367</v>
      </c>
      <c r="I25" s="24"/>
      <c r="J25" s="105">
        <v>12</v>
      </c>
      <c r="K25" s="21"/>
      <c r="L25" s="25" t="s">
        <v>326</v>
      </c>
      <c r="M25" s="25"/>
      <c r="N25" s="196" t="s">
        <v>289</v>
      </c>
      <c r="O25" s="28"/>
      <c r="P25" s="29"/>
      <c r="T25" s="28"/>
      <c r="U25" s="44"/>
      <c r="V25" s="58"/>
    </row>
    <row r="26" spans="1:22" ht="18.75" customHeight="1" x14ac:dyDescent="0.2">
      <c r="A26" s="53">
        <v>41</v>
      </c>
      <c r="B26" s="20"/>
      <c r="C26" s="21"/>
      <c r="D26" s="22"/>
      <c r="E26" s="117" t="s">
        <v>368</v>
      </c>
      <c r="F26" s="116"/>
      <c r="G26" s="25" t="s">
        <v>326</v>
      </c>
      <c r="H26" s="117" t="s">
        <v>369</v>
      </c>
      <c r="I26" s="24"/>
      <c r="J26" s="105">
        <v>13</v>
      </c>
      <c r="K26" s="21"/>
      <c r="L26" s="25" t="s">
        <v>326</v>
      </c>
      <c r="M26" s="25"/>
      <c r="N26" s="196" t="s">
        <v>284</v>
      </c>
      <c r="O26" s="28"/>
      <c r="P26" s="29"/>
      <c r="T26" s="28"/>
      <c r="V26" s="58"/>
    </row>
    <row r="27" spans="1:22" ht="18.75" customHeight="1" x14ac:dyDescent="0.2">
      <c r="A27" s="53">
        <v>42</v>
      </c>
      <c r="B27" s="20"/>
      <c r="C27" s="21"/>
      <c r="D27" s="22"/>
      <c r="E27" s="117" t="s">
        <v>370</v>
      </c>
      <c r="F27" s="116"/>
      <c r="G27" s="25" t="s">
        <v>326</v>
      </c>
      <c r="H27" s="117" t="s">
        <v>371</v>
      </c>
      <c r="I27" s="24"/>
      <c r="J27" s="105">
        <v>14</v>
      </c>
      <c r="K27" s="21"/>
      <c r="L27" s="25" t="s">
        <v>326</v>
      </c>
      <c r="M27" s="25"/>
      <c r="N27" s="196" t="s">
        <v>283</v>
      </c>
      <c r="O27" s="28"/>
      <c r="P27" s="29"/>
      <c r="T27" s="28"/>
      <c r="V27" s="58"/>
    </row>
    <row r="28" spans="1:22" ht="18.75" customHeight="1" x14ac:dyDescent="0.2">
      <c r="A28" s="53">
        <v>43</v>
      </c>
      <c r="B28" s="20"/>
      <c r="C28" s="21"/>
      <c r="D28" s="22"/>
      <c r="E28" s="117" t="s">
        <v>372</v>
      </c>
      <c r="F28" s="116"/>
      <c r="G28" s="25" t="s">
        <v>326</v>
      </c>
      <c r="H28" s="117" t="s">
        <v>373</v>
      </c>
      <c r="I28" s="24"/>
      <c r="J28" s="105">
        <v>15</v>
      </c>
      <c r="K28" s="21"/>
      <c r="L28" s="25" t="s">
        <v>326</v>
      </c>
      <c r="M28" s="25"/>
      <c r="N28" s="196" t="s">
        <v>282</v>
      </c>
      <c r="O28" s="28"/>
      <c r="P28" s="29"/>
      <c r="T28" s="28"/>
      <c r="V28" s="58"/>
    </row>
    <row r="29" spans="1:22" ht="18.75" customHeight="1" x14ac:dyDescent="0.2">
      <c r="A29" s="54">
        <v>44</v>
      </c>
      <c r="B29" s="31"/>
      <c r="C29" s="32"/>
      <c r="D29" s="33"/>
      <c r="E29" s="117" t="s">
        <v>374</v>
      </c>
      <c r="F29" s="119"/>
      <c r="G29" s="36" t="s">
        <v>326</v>
      </c>
      <c r="H29" s="117" t="s">
        <v>375</v>
      </c>
      <c r="I29" s="35"/>
      <c r="J29" s="106">
        <v>16</v>
      </c>
      <c r="K29" s="32"/>
      <c r="L29" s="36" t="s">
        <v>326</v>
      </c>
      <c r="M29" s="36"/>
      <c r="N29" s="197" t="s">
        <v>376</v>
      </c>
      <c r="O29" s="38"/>
      <c r="P29" s="39"/>
      <c r="T29" s="28"/>
      <c r="V29" s="58"/>
    </row>
    <row r="30" spans="1:22" ht="18.75" customHeight="1" x14ac:dyDescent="0.2">
      <c r="A30" s="98"/>
      <c r="B30" s="89"/>
      <c r="C30" s="89"/>
      <c r="D30" s="89"/>
      <c r="E30" s="113"/>
      <c r="F30" s="113"/>
      <c r="G30" s="92"/>
      <c r="H30" s="113"/>
      <c r="I30" s="91"/>
      <c r="J30" s="99"/>
      <c r="K30" s="89"/>
      <c r="L30" s="92"/>
      <c r="M30" s="92"/>
      <c r="N30" s="93"/>
      <c r="O30" s="93"/>
      <c r="P30" s="93"/>
      <c r="T30" s="28"/>
    </row>
    <row r="31" spans="1:22" ht="18.75" customHeight="1" x14ac:dyDescent="0.2">
      <c r="A31" s="40"/>
      <c r="B31" s="21"/>
      <c r="C31" s="21"/>
      <c r="D31" s="21"/>
      <c r="E31" s="116"/>
      <c r="F31" s="116"/>
      <c r="G31" s="25"/>
      <c r="H31" s="116"/>
      <c r="I31" s="23"/>
      <c r="J31" s="45"/>
      <c r="K31" s="21"/>
      <c r="L31" s="25"/>
      <c r="M31" s="25"/>
      <c r="N31" s="28"/>
      <c r="O31" s="28"/>
      <c r="P31" s="28"/>
      <c r="T31" s="28"/>
    </row>
    <row r="32" spans="1:22" ht="18.75" customHeight="1" x14ac:dyDescent="0.2">
      <c r="A32" s="55"/>
      <c r="B32" s="21"/>
      <c r="C32" s="21"/>
      <c r="D32" s="21"/>
      <c r="E32" s="116"/>
      <c r="F32" s="116"/>
      <c r="G32" s="25"/>
      <c r="H32" s="116"/>
      <c r="I32" s="23"/>
      <c r="J32" s="45"/>
      <c r="K32" s="21"/>
      <c r="L32" s="25"/>
      <c r="M32" s="25"/>
      <c r="N32" s="28"/>
      <c r="O32" s="28"/>
      <c r="P32" s="28"/>
      <c r="T32" s="28"/>
    </row>
    <row r="33" spans="1:20" ht="18" x14ac:dyDescent="0.2">
      <c r="A33" s="42" t="s">
        <v>377</v>
      </c>
      <c r="B33" s="51"/>
      <c r="C33" s="52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2"/>
      <c r="T33" s="28"/>
    </row>
    <row r="34" spans="1:20" ht="18.75" customHeight="1" x14ac:dyDescent="0.2">
      <c r="A34" s="10" t="s">
        <v>321</v>
      </c>
      <c r="B34" s="224" t="s">
        <v>322</v>
      </c>
      <c r="C34" s="224"/>
      <c r="D34" s="224"/>
      <c r="E34" s="85" t="s">
        <v>323</v>
      </c>
      <c r="F34" s="94"/>
      <c r="G34" s="94"/>
      <c r="H34" s="94"/>
      <c r="I34" s="86"/>
      <c r="J34" s="216" t="s">
        <v>11</v>
      </c>
      <c r="K34" s="225" t="s">
        <v>324</v>
      </c>
      <c r="L34" s="226"/>
      <c r="M34" s="227"/>
      <c r="N34" s="212" t="s">
        <v>274</v>
      </c>
      <c r="O34" s="171"/>
      <c r="P34" s="12"/>
      <c r="T34" s="28"/>
    </row>
    <row r="35" spans="1:20" ht="18.75" customHeight="1" x14ac:dyDescent="0.2">
      <c r="A35" s="13">
        <v>45</v>
      </c>
      <c r="B35" s="109" t="s">
        <v>378</v>
      </c>
      <c r="C35" s="89" t="s">
        <v>326</v>
      </c>
      <c r="D35" s="108">
        <v>0.73333333333333328</v>
      </c>
      <c r="E35" s="112" t="str">
        <f>IF(AND(K14&lt;&gt;"",M14&lt;&gt;""),IF(K14&gt;M14,E14,IF(K14&lt;M14,#REF!,"Winnaar 29")),"Winnaar 29")</f>
        <v>Winnaar 29</v>
      </c>
      <c r="F35" s="113"/>
      <c r="G35" s="92" t="s">
        <v>326</v>
      </c>
      <c r="H35" s="114" t="str">
        <f>IF(AND(K15&lt;&gt;"",M15&lt;&gt;""),IF(K15&gt;M15,E15,IF(K15&lt;M15,H15,"Winnaar 30")),"Winnaar 30")</f>
        <v>Winnaar 30</v>
      </c>
      <c r="I35" s="15"/>
      <c r="J35" s="89">
        <v>1</v>
      </c>
      <c r="K35" s="14"/>
      <c r="L35" s="92" t="s">
        <v>326</v>
      </c>
      <c r="M35" s="16"/>
      <c r="N35" s="198" t="s">
        <v>350</v>
      </c>
      <c r="O35" s="93"/>
      <c r="P35" s="18"/>
      <c r="T35" s="28"/>
    </row>
    <row r="36" spans="1:20" ht="18.75" customHeight="1" x14ac:dyDescent="0.2">
      <c r="A36" s="19">
        <v>46</v>
      </c>
      <c r="B36" s="20"/>
      <c r="C36" s="21"/>
      <c r="D36" s="21"/>
      <c r="E36" s="115" t="str">
        <f>IF(AND(K16&lt;&gt;"",M16&lt;&gt;""),IF(K16&gt;M16,E16,IF(K16&lt;M16,H16,"Winnaar 31")),"Winnaar 31")</f>
        <v>Winnaar 31</v>
      </c>
      <c r="F36" s="116"/>
      <c r="G36" s="25" t="s">
        <v>326</v>
      </c>
      <c r="H36" s="117" t="str">
        <f>IF(AND(K17&lt;&gt;"",M17&lt;&gt;""),IF(K17&gt;M17,E17,IF(K17&lt;M17,H17,"Winnaar 32")),"Winnaar 32")</f>
        <v>Winnaar 32</v>
      </c>
      <c r="I36" s="24"/>
      <c r="J36" s="21">
        <v>2</v>
      </c>
      <c r="K36" s="20"/>
      <c r="L36" s="25" t="s">
        <v>326</v>
      </c>
      <c r="M36" s="26"/>
      <c r="N36" s="198" t="s">
        <v>300</v>
      </c>
      <c r="O36" s="28"/>
      <c r="P36" s="29"/>
      <c r="T36" s="28"/>
    </row>
    <row r="37" spans="1:20" ht="18.75" customHeight="1" x14ac:dyDescent="0.2">
      <c r="A37" s="19">
        <v>47</v>
      </c>
      <c r="B37" s="20"/>
      <c r="C37" s="21"/>
      <c r="D37" s="21"/>
      <c r="E37" s="115" t="str">
        <f>IF(AND(K18&lt;&gt;"",M18&lt;&gt;""),IF(K18&gt;M18,E18,IF(K18&lt;M18,H18,"Winnaar 33")),"Winnaar 33")</f>
        <v>Winnaar 33</v>
      </c>
      <c r="F37" s="116"/>
      <c r="G37" s="25" t="s">
        <v>326</v>
      </c>
      <c r="H37" s="117" t="str">
        <f>IF(AND(K19&lt;&gt;"",M19&lt;&gt;""),IF(K19&gt;M19,E19,IF(K19&lt;M19,H19,"Winnaar 34")),"Winnaar 34")</f>
        <v>Winnaar 34</v>
      </c>
      <c r="I37" s="24"/>
      <c r="J37" s="21">
        <v>3</v>
      </c>
      <c r="K37" s="20"/>
      <c r="L37" s="25" t="s">
        <v>326</v>
      </c>
      <c r="M37" s="26"/>
      <c r="N37" s="198" t="s">
        <v>307</v>
      </c>
      <c r="O37" s="28"/>
      <c r="P37" s="29"/>
      <c r="T37" s="28"/>
    </row>
    <row r="38" spans="1:20" ht="18.75" customHeight="1" x14ac:dyDescent="0.2">
      <c r="A38" s="19">
        <v>48</v>
      </c>
      <c r="B38" s="20"/>
      <c r="C38" s="21"/>
      <c r="D38" s="21"/>
      <c r="E38" s="115" t="str">
        <f>IF(AND(K20&lt;&gt;"",M20&lt;&gt;""),IF(K20&gt;M20,E20,IF(K20&lt;M20,H17,"Winnaar 35")),"Winnaar 35")</f>
        <v>Winnaar 35</v>
      </c>
      <c r="F38" s="116"/>
      <c r="G38" s="25" t="s">
        <v>326</v>
      </c>
      <c r="H38" s="117" t="str">
        <f>IF(AND(K21&lt;&gt;"",M21&lt;&gt;""),IF(K21&gt;M21,E21,IF(K21&lt;M21,H14,"Winnaar 36")),"Winnaar 36")</f>
        <v>Winnaar 36</v>
      </c>
      <c r="I38" s="24"/>
      <c r="J38" s="21">
        <v>4</v>
      </c>
      <c r="K38" s="20"/>
      <c r="L38" s="25" t="s">
        <v>326</v>
      </c>
      <c r="M38" s="26"/>
      <c r="N38" s="198" t="s">
        <v>306</v>
      </c>
      <c r="O38" s="28"/>
      <c r="P38" s="29"/>
      <c r="T38" s="28"/>
    </row>
    <row r="39" spans="1:20" ht="18.75" customHeight="1" x14ac:dyDescent="0.2">
      <c r="A39" s="19">
        <v>49</v>
      </c>
      <c r="B39" s="20"/>
      <c r="C39" s="21"/>
      <c r="D39" s="21"/>
      <c r="E39" s="115" t="str">
        <f>IF(AND(K22&lt;&gt;"",M22&lt;&gt;""),IF(K22&gt;M22,E22,IF(K22&lt;M22,H22,"Winnaar 37")),"Winnaar 37")</f>
        <v>Winnaar 37</v>
      </c>
      <c r="F39" s="116"/>
      <c r="G39" s="25" t="s">
        <v>326</v>
      </c>
      <c r="H39" s="117" t="str">
        <f>IF(AND(K23&lt;&gt;"",M23&lt;&gt;""),IF(K23&gt;M23,E23,IF(K23&lt;M23,H23,"Winnaar 38")),"Winnaar 38")</f>
        <v>Winnaar 38</v>
      </c>
      <c r="I39" s="24"/>
      <c r="J39" s="21">
        <v>5</v>
      </c>
      <c r="K39" s="20"/>
      <c r="L39" s="25" t="s">
        <v>326</v>
      </c>
      <c r="M39" s="26"/>
      <c r="N39" s="198" t="s">
        <v>356</v>
      </c>
      <c r="O39" s="87"/>
      <c r="P39" s="88"/>
      <c r="T39" s="28"/>
    </row>
    <row r="40" spans="1:20" ht="18.75" customHeight="1" x14ac:dyDescent="0.2">
      <c r="A40" s="19">
        <v>50</v>
      </c>
      <c r="B40" s="20"/>
      <c r="C40" s="21"/>
      <c r="D40" s="21"/>
      <c r="E40" s="115" t="str">
        <f>IF(AND(K24&lt;&gt;"",M24&lt;&gt;""),IF(K24&gt;M24,E24,IF(K24&lt;M24,H24,"Winnaar 39")),"Winnaar 39")</f>
        <v>Winnaar 39</v>
      </c>
      <c r="F40" s="116"/>
      <c r="G40" s="25" t="s">
        <v>326</v>
      </c>
      <c r="H40" s="117" t="str">
        <f>IF(AND(K25&lt;&gt;"",M25&lt;&gt;""),IF(K25&gt;M25,E25,IF(K25&lt;M25,H25,"Winnaar 40")),"Winnaar 40")</f>
        <v>Winnaar 40</v>
      </c>
      <c r="I40" s="24"/>
      <c r="J40" s="21">
        <v>6</v>
      </c>
      <c r="K40" s="20"/>
      <c r="L40" s="25" t="s">
        <v>326</v>
      </c>
      <c r="M40" s="26"/>
      <c r="N40" s="198" t="s">
        <v>298</v>
      </c>
      <c r="O40" s="28"/>
      <c r="P40" s="29"/>
      <c r="T40" s="28"/>
    </row>
    <row r="41" spans="1:20" ht="18.75" customHeight="1" x14ac:dyDescent="0.2">
      <c r="A41" s="19">
        <v>51</v>
      </c>
      <c r="B41" s="20"/>
      <c r="C41" s="21"/>
      <c r="D41" s="21"/>
      <c r="E41" s="115" t="str">
        <f>IF(AND(K26&lt;&gt;"",M26&lt;&gt;""),IF(K26&gt;M26,E26,IF(K26&lt;M26,H26,"Winnaar 41")),"Winnaar 41")</f>
        <v>Winnaar 41</v>
      </c>
      <c r="F41" s="116"/>
      <c r="G41" s="25" t="s">
        <v>326</v>
      </c>
      <c r="H41" s="117" t="str">
        <f>IF(AND(K27&lt;&gt;"",M27&lt;&gt;""),IF(K27&gt;M27,E27,IF(K27&lt;M27,H27,"Winnaar 42")),"Winnaar 42")</f>
        <v>Winnaar 42</v>
      </c>
      <c r="I41" s="24"/>
      <c r="J41" s="21">
        <v>7</v>
      </c>
      <c r="K41" s="20"/>
      <c r="L41" s="25" t="s">
        <v>326</v>
      </c>
      <c r="M41" s="26"/>
      <c r="N41" s="198" t="s">
        <v>312</v>
      </c>
      <c r="O41" s="28"/>
      <c r="P41" s="29"/>
      <c r="T41" s="28"/>
    </row>
    <row r="42" spans="1:20" ht="18.75" customHeight="1" x14ac:dyDescent="0.2">
      <c r="A42" s="30">
        <v>52</v>
      </c>
      <c r="B42" s="31"/>
      <c r="C42" s="32"/>
      <c r="D42" s="32"/>
      <c r="E42" s="118" t="str">
        <f>IF(AND(K28&lt;&gt;"",M28&lt;&gt;""),IF(K28&gt;M28,E28,IF(K28&lt;M28,H28,"Winnaar 43")),"Winnaar 43")</f>
        <v>Winnaar 43</v>
      </c>
      <c r="F42" s="119"/>
      <c r="G42" s="36" t="s">
        <v>326</v>
      </c>
      <c r="H42" s="120" t="str">
        <f>IF(AND(K29&lt;&gt;"",M29&lt;&gt;""),IF(K29&gt;M29,E29,IF(K29&lt;M29,H29,"Winnaar 44")),"Winnaar 44")</f>
        <v>Winnaar 44</v>
      </c>
      <c r="I42" s="35"/>
      <c r="J42" s="32">
        <v>8</v>
      </c>
      <c r="K42" s="31"/>
      <c r="L42" s="36" t="s">
        <v>326</v>
      </c>
      <c r="M42" s="37"/>
      <c r="N42" s="198" t="s">
        <v>289</v>
      </c>
      <c r="O42" s="38"/>
      <c r="P42" s="39"/>
    </row>
    <row r="43" spans="1:20" ht="18.75" customHeight="1" x14ac:dyDescent="0.2">
      <c r="A43" s="98"/>
      <c r="B43" s="89"/>
      <c r="C43" s="89"/>
      <c r="D43" s="89"/>
      <c r="E43" s="91"/>
      <c r="F43" s="91"/>
      <c r="G43" s="89"/>
      <c r="H43" s="91"/>
      <c r="I43" s="91"/>
      <c r="J43" s="99"/>
      <c r="K43" s="89"/>
      <c r="L43" s="92"/>
      <c r="M43" s="92"/>
      <c r="N43" s="93"/>
      <c r="O43" s="93"/>
      <c r="P43" s="93"/>
    </row>
  </sheetData>
  <mergeCells count="7">
    <mergeCell ref="B34:D34"/>
    <mergeCell ref="K34:M34"/>
    <mergeCell ref="A8:D8"/>
    <mergeCell ref="E8:N8"/>
    <mergeCell ref="O8:P8"/>
    <mergeCell ref="B13:D13"/>
    <mergeCell ref="K13:M1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E615B-3CCE-4C6F-BCD3-2490A32C9710}">
  <sheetPr codeName="Blad32"/>
  <dimension ref="A1:Y53"/>
  <sheetViews>
    <sheetView showGridLines="0" topLeftCell="A31" zoomScaleNormal="100" workbookViewId="0">
      <selection activeCell="O45" sqref="O45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1" width="5.7109375" style="2" customWidth="1"/>
    <col min="12" max="12" width="2.42578125" style="2" customWidth="1"/>
    <col min="13" max="13" width="5.7109375" style="2" customWidth="1"/>
    <col min="14" max="14" width="2.7109375" style="2" customWidth="1"/>
    <col min="15" max="16" width="10.7109375" style="2" customWidth="1"/>
    <col min="17" max="19" width="9.140625" style="2"/>
    <col min="20" max="20" width="19" style="2" bestFit="1" customWidth="1"/>
    <col min="21" max="21" width="10.5703125" style="2" bestFit="1" customWidth="1"/>
    <col min="22" max="22" width="9.5703125" style="2" customWidth="1"/>
    <col min="23" max="23" width="16.85546875" style="2" bestFit="1" customWidth="1"/>
    <col min="24" max="24" width="10.5703125" style="2" bestFit="1" customWidth="1"/>
    <col min="25" max="16384" width="9.140625" style="2"/>
  </cols>
  <sheetData>
    <row r="1" spans="1:22" ht="20.25" x14ac:dyDescent="0.3">
      <c r="A1" s="1" t="s">
        <v>314</v>
      </c>
      <c r="I1" s="46" t="s">
        <v>315</v>
      </c>
    </row>
    <row r="2" spans="1:22" ht="16.5" x14ac:dyDescent="0.3">
      <c r="A2" s="3" t="s">
        <v>316</v>
      </c>
    </row>
    <row r="3" spans="1:22" ht="16.5" x14ac:dyDescent="0.3">
      <c r="A3" s="3" t="s">
        <v>317</v>
      </c>
    </row>
    <row r="4" spans="1:22" ht="16.5" x14ac:dyDescent="0.3">
      <c r="A4" s="3" t="s">
        <v>318</v>
      </c>
    </row>
    <row r="5" spans="1:22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U5" s="61"/>
      <c r="V5" s="61"/>
    </row>
    <row r="6" spans="1:22" ht="16.5" x14ac:dyDescent="0.3">
      <c r="A6" s="3"/>
      <c r="U6" s="61"/>
      <c r="V6" s="61"/>
    </row>
    <row r="7" spans="1:22" x14ac:dyDescent="0.2">
      <c r="U7" s="61"/>
      <c r="V7" s="61"/>
    </row>
    <row r="8" spans="1:22" ht="18.75" customHeight="1" x14ac:dyDescent="0.2">
      <c r="A8" s="229" t="str">
        <f>Scholen!B3</f>
        <v>Groep 7/8</v>
      </c>
      <c r="B8" s="230"/>
      <c r="C8" s="230"/>
      <c r="D8" s="230"/>
      <c r="E8" s="231" t="s">
        <v>338</v>
      </c>
      <c r="F8" s="231"/>
      <c r="G8" s="231"/>
      <c r="H8" s="231"/>
      <c r="I8" s="231"/>
      <c r="J8" s="231"/>
      <c r="K8" s="231"/>
      <c r="L8" s="231"/>
      <c r="M8" s="231"/>
      <c r="N8" s="231"/>
      <c r="O8" s="222">
        <f>Scholen!D3</f>
        <v>46113</v>
      </c>
      <c r="P8" s="223"/>
      <c r="U8" s="61"/>
      <c r="V8" s="61"/>
    </row>
    <row r="9" spans="1:22" ht="18" x14ac:dyDescent="0.2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2">
      <c r="A10" s="95"/>
      <c r="B10" s="95"/>
      <c r="C10" s="96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6"/>
    </row>
    <row r="11" spans="1:22" ht="18.75" customHeight="1" x14ac:dyDescent="0.2">
      <c r="V11" s="61"/>
    </row>
    <row r="12" spans="1:22" ht="18.75" customHeight="1" x14ac:dyDescent="0.2">
      <c r="A12" s="42" t="s">
        <v>379</v>
      </c>
      <c r="B12" s="32"/>
      <c r="C12" s="32"/>
      <c r="D12" s="32"/>
      <c r="E12" s="34"/>
      <c r="F12" s="34"/>
      <c r="G12" s="32"/>
      <c r="H12" s="34"/>
      <c r="I12" s="34"/>
      <c r="J12" s="43"/>
      <c r="K12" s="32"/>
      <c r="L12" s="36"/>
      <c r="M12" s="36"/>
      <c r="N12" s="38"/>
      <c r="O12" s="38"/>
      <c r="P12" s="38"/>
    </row>
    <row r="13" spans="1:22" ht="18.75" customHeight="1" x14ac:dyDescent="0.2">
      <c r="A13" s="10" t="s">
        <v>321</v>
      </c>
      <c r="B13" s="224" t="s">
        <v>322</v>
      </c>
      <c r="C13" s="224"/>
      <c r="D13" s="224"/>
      <c r="E13" s="11" t="s">
        <v>323</v>
      </c>
      <c r="F13" s="171"/>
      <c r="G13" s="171"/>
      <c r="H13" s="171"/>
      <c r="I13" s="12"/>
      <c r="J13" s="216" t="s">
        <v>11</v>
      </c>
      <c r="K13" s="225" t="s">
        <v>324</v>
      </c>
      <c r="L13" s="226"/>
      <c r="M13" s="227"/>
      <c r="N13" s="122" t="s">
        <v>274</v>
      </c>
      <c r="O13" s="171"/>
      <c r="P13" s="12"/>
      <c r="T13" s="58"/>
    </row>
    <row r="14" spans="1:22" ht="18.75" customHeight="1" x14ac:dyDescent="0.2">
      <c r="A14" s="13">
        <v>53</v>
      </c>
      <c r="B14" s="107">
        <v>0.73958333333333337</v>
      </c>
      <c r="C14" s="89" t="s">
        <v>326</v>
      </c>
      <c r="D14" s="110">
        <v>0.74375000000000002</v>
      </c>
      <c r="E14" s="112" t="str">
        <f>IF(AND(Finales1!K35&lt;&gt;"",Finales1!M35&lt;&gt;""),IF(Finales1!K35&gt;Finales1!M35,Finales1!E35,IF(Finales1!K35&lt;Finales1!M35,Finales1!H35,"Winnaar 45")),"Winnaar 45")</f>
        <v>Winnaar 45</v>
      </c>
      <c r="F14" s="113"/>
      <c r="G14" s="92" t="s">
        <v>326</v>
      </c>
      <c r="H14" s="114" t="str">
        <f>IF(AND(Finales1!K36&lt;&gt;"",Finales1!M36&lt;&gt;""),IF(Finales1!K36&gt;Finales1!M36,Finales1!E36,IF(Finales1!K36&lt;Finales1!M36,Finales1!H36,"Winnaar 46")),"Winnaar 46")</f>
        <v>Winnaar 46</v>
      </c>
      <c r="I14" s="15"/>
      <c r="J14" s="89">
        <v>1</v>
      </c>
      <c r="K14" s="14"/>
      <c r="L14" s="92" t="s">
        <v>326</v>
      </c>
      <c r="M14" s="16"/>
      <c r="N14" s="198" t="s">
        <v>294</v>
      </c>
      <c r="O14" s="93"/>
      <c r="P14" s="18"/>
    </row>
    <row r="15" spans="1:22" ht="18.75" customHeight="1" x14ac:dyDescent="0.2">
      <c r="A15" s="19">
        <v>54</v>
      </c>
      <c r="B15" s="20"/>
      <c r="C15" s="21"/>
      <c r="D15" s="22"/>
      <c r="E15" s="115" t="str">
        <f>IF(AND(Finales1!K37&lt;&gt;"",Finales1!M37&lt;&gt;""),IF(Finales1!K37&gt;Finales1!M37,Finales1!E37,IF(Finales1!K37&lt;Finales1!M37,Finales1!H37,"Winnaar 47")),"Winnaar 47")</f>
        <v>Winnaar 47</v>
      </c>
      <c r="F15" s="116"/>
      <c r="G15" s="25" t="s">
        <v>326</v>
      </c>
      <c r="H15" s="117" t="str">
        <f>IF(AND(Finales1!K38&lt;&gt;"",Finales1!M38&lt;&gt;""),IF(Finales1!K38&gt;Finales1!M38,Finales1!E38,IF(Finales1!K38&lt;Finales1!M38,Finales1!H38,"Winnaar 48")),"Winnaar 48")</f>
        <v>Winnaar 48</v>
      </c>
      <c r="I15" s="24"/>
      <c r="J15" s="21">
        <v>2</v>
      </c>
      <c r="K15" s="20"/>
      <c r="L15" s="25" t="s">
        <v>326</v>
      </c>
      <c r="M15" s="26"/>
      <c r="N15" s="198" t="s">
        <v>293</v>
      </c>
      <c r="O15" s="28"/>
      <c r="P15" s="29"/>
      <c r="T15" s="58"/>
    </row>
    <row r="16" spans="1:22" ht="18.75" customHeight="1" x14ac:dyDescent="0.2">
      <c r="A16" s="19">
        <v>55</v>
      </c>
      <c r="B16" s="20"/>
      <c r="C16" s="21"/>
      <c r="D16" s="22"/>
      <c r="E16" s="115" t="str">
        <f>IF(AND(Finales1!K39&lt;&gt;"",Finales1!M39&lt;&gt;""),IF(Finales1!K39&gt;Finales1!M39,Finales1!E39,IF(Finales1!K39&lt;Finales1!M39,Finales1!H39,"Winnaar 49")),"Winnaar 49")</f>
        <v>Winnaar 49</v>
      </c>
      <c r="F16" s="116"/>
      <c r="G16" s="25" t="s">
        <v>326</v>
      </c>
      <c r="H16" s="117" t="str">
        <f>IF(AND(Finales1!K40&lt;&gt;"",Finales1!M40&lt;&gt;""),IF(Finales1!K40&gt;Finales1!M40,Finales1!E40,IF(Finales1!K40&lt;Finales1!M40,Finales1!H40,"Winnaar 50")),"Winnaar 50")</f>
        <v>Winnaar 50</v>
      </c>
      <c r="I16" s="24"/>
      <c r="J16" s="21">
        <v>3</v>
      </c>
      <c r="K16" s="20"/>
      <c r="L16" s="25" t="s">
        <v>326</v>
      </c>
      <c r="M16" s="26"/>
      <c r="N16" s="198" t="s">
        <v>311</v>
      </c>
      <c r="O16" s="28"/>
      <c r="P16" s="29"/>
      <c r="V16" s="61"/>
    </row>
    <row r="17" spans="1:25" ht="18.75" customHeight="1" x14ac:dyDescent="0.2">
      <c r="A17" s="30">
        <v>56</v>
      </c>
      <c r="B17" s="31"/>
      <c r="C17" s="32"/>
      <c r="D17" s="33"/>
      <c r="E17" s="118" t="str">
        <f>IF(AND(Finales1!K41&lt;&gt;"",Finales1!M41&lt;&gt;""),IF(Finales1!K41&gt;Finales1!M41,Finales1!E41,IF(Finales1!K41&lt;Finales1!M41,Finales1!H41,"Winnaar 51")),"Winnaar 51")</f>
        <v>Winnaar 51</v>
      </c>
      <c r="F17" s="119"/>
      <c r="G17" s="36" t="s">
        <v>326</v>
      </c>
      <c r="H17" s="120" t="str">
        <f>IF(AND(Finales1!K42&lt;&gt;"",Finales1!M42&lt;&gt;""),IF(Finales1!K42&gt;Finales1!M42,Finales1!E42,IF(Finales1!K42&lt;Finales1!M42,Finales1!H42,"Winnaar 52")),"Winnaar 52")</f>
        <v>Winnaar 52</v>
      </c>
      <c r="I17" s="35"/>
      <c r="J17" s="32">
        <v>4</v>
      </c>
      <c r="K17" s="31"/>
      <c r="L17" s="36" t="s">
        <v>326</v>
      </c>
      <c r="M17" s="37"/>
      <c r="N17" s="198" t="s">
        <v>296</v>
      </c>
      <c r="O17" s="38"/>
      <c r="P17" s="39"/>
      <c r="V17" s="61"/>
    </row>
    <row r="18" spans="1:25" ht="18.75" customHeight="1" x14ac:dyDescent="0.2">
      <c r="A18" s="100"/>
      <c r="B18" s="89"/>
      <c r="C18" s="89"/>
      <c r="D18" s="89"/>
      <c r="E18" s="114"/>
      <c r="F18" s="113"/>
      <c r="G18" s="92"/>
      <c r="H18" s="114"/>
      <c r="I18" s="91"/>
      <c r="J18" s="89"/>
      <c r="K18" s="89"/>
      <c r="L18" s="92"/>
      <c r="M18" s="92"/>
      <c r="N18" s="93"/>
      <c r="O18" s="93"/>
      <c r="P18" s="93"/>
      <c r="Q18" s="2" t="s">
        <v>351</v>
      </c>
      <c r="T18" s="58"/>
    </row>
    <row r="19" spans="1:25" ht="18.75" customHeight="1" x14ac:dyDescent="0.2">
      <c r="A19" s="40"/>
      <c r="B19" s="21"/>
      <c r="C19" s="21"/>
      <c r="D19" s="21"/>
      <c r="E19" s="116"/>
      <c r="F19" s="116"/>
      <c r="G19" s="25"/>
      <c r="H19" s="116"/>
      <c r="I19" s="23"/>
      <c r="J19" s="45"/>
      <c r="K19" s="21"/>
      <c r="L19" s="25"/>
      <c r="M19" s="25"/>
      <c r="N19" s="28"/>
      <c r="O19" s="28"/>
      <c r="P19" s="28"/>
      <c r="T19" s="58"/>
      <c r="Y19" s="61"/>
    </row>
    <row r="20" spans="1:25" ht="18.75" customHeight="1" x14ac:dyDescent="0.2">
      <c r="A20" s="42" t="s">
        <v>380</v>
      </c>
      <c r="B20" s="32"/>
      <c r="C20" s="32"/>
      <c r="D20" s="32"/>
      <c r="E20" s="119"/>
      <c r="F20" s="119"/>
      <c r="G20" s="36"/>
      <c r="H20" s="119"/>
      <c r="I20" s="34"/>
      <c r="J20" s="43"/>
      <c r="K20" s="32"/>
      <c r="L20" s="36"/>
      <c r="M20" s="36"/>
      <c r="N20" s="38"/>
      <c r="O20" s="38"/>
      <c r="P20" s="38"/>
      <c r="T20" s="58"/>
    </row>
    <row r="21" spans="1:25" ht="18.75" customHeight="1" x14ac:dyDescent="0.2">
      <c r="A21" s="10" t="s">
        <v>321</v>
      </c>
      <c r="B21" s="224" t="s">
        <v>322</v>
      </c>
      <c r="C21" s="224"/>
      <c r="D21" s="224"/>
      <c r="E21" s="11" t="s">
        <v>323</v>
      </c>
      <c r="F21" s="171"/>
      <c r="G21" s="171"/>
      <c r="H21" s="171"/>
      <c r="I21" s="12"/>
      <c r="J21" s="216" t="s">
        <v>11</v>
      </c>
      <c r="K21" s="225" t="s">
        <v>324</v>
      </c>
      <c r="L21" s="226"/>
      <c r="M21" s="227"/>
      <c r="N21" s="212" t="s">
        <v>274</v>
      </c>
      <c r="O21" s="171"/>
      <c r="P21" s="12"/>
      <c r="T21" s="58"/>
      <c r="Y21" s="61"/>
    </row>
    <row r="22" spans="1:25" ht="18.75" customHeight="1" x14ac:dyDescent="0.2">
      <c r="A22" s="13">
        <v>57</v>
      </c>
      <c r="B22" s="107">
        <v>0.74722222222222223</v>
      </c>
      <c r="C22" s="89" t="s">
        <v>326</v>
      </c>
      <c r="D22" s="110">
        <v>0.75138888888888888</v>
      </c>
      <c r="E22" s="112" t="str">
        <f>IF(AND(Finales2!K14&lt;&gt;"",Finales2!M14&lt;&gt;""),IF(Finales2!K14&gt;Finales2!M14,Finales2!E14,IF(Finales2!K14&lt;Finales2!M14,Finales2!H14,"Winnaar 53")),"Winnaar 53")</f>
        <v>Winnaar 53</v>
      </c>
      <c r="F22" s="113"/>
      <c r="G22" s="92" t="s">
        <v>326</v>
      </c>
      <c r="H22" s="114" t="str">
        <f>IF(AND(Finales2!K15&lt;&gt;"",Finales2!M15&lt;&gt;""),IF(Finales2!K15&gt;Finales2!M15,Finales2!E15,IF(Finales2!K15&lt;Finales2!M15,Finales2!H15,"Winnaar 54")),"Winnaar 54")</f>
        <v>Winnaar 54</v>
      </c>
      <c r="I22" s="15"/>
      <c r="J22" s="89">
        <v>1</v>
      </c>
      <c r="K22" s="14"/>
      <c r="L22" s="92" t="s">
        <v>326</v>
      </c>
      <c r="M22" s="16"/>
      <c r="N22" s="198" t="s">
        <v>291</v>
      </c>
      <c r="O22" s="93"/>
      <c r="P22" s="18"/>
      <c r="T22" s="58"/>
      <c r="Y22" s="61"/>
    </row>
    <row r="23" spans="1:25" ht="18.75" customHeight="1" x14ac:dyDescent="0.2">
      <c r="A23" s="30">
        <v>58</v>
      </c>
      <c r="B23" s="31"/>
      <c r="C23" s="32"/>
      <c r="D23" s="33"/>
      <c r="E23" s="118" t="str">
        <f>IF(AND(Finales2!K16&lt;&gt;"",Finales2!M16&lt;&gt;""),IF(Finales2!K16&gt;Finales2!M16,Finales2!E16,IF(Finales2!K16&lt;Finales2!M16,Finales2!H16,"Winnaar 55")),"Winnaar 55")</f>
        <v>Winnaar 55</v>
      </c>
      <c r="F23" s="119"/>
      <c r="G23" s="36" t="s">
        <v>326</v>
      </c>
      <c r="H23" s="120" t="str">
        <f>IF(AND(Finales2!K17&lt;&gt;"",Finales2!M17&lt;&gt;""),IF(Finales2!K17&gt;Finales2!M17,Finales2!E17,IF(Finales2!K17&lt;Finales2!M17,Finales2!H17,"Winnaar 56")),"Winnaar 56")</f>
        <v>Winnaar 56</v>
      </c>
      <c r="I23" s="35"/>
      <c r="J23" s="32">
        <v>2</v>
      </c>
      <c r="K23" s="31"/>
      <c r="L23" s="36" t="s">
        <v>326</v>
      </c>
      <c r="M23" s="37"/>
      <c r="N23" s="198" t="s">
        <v>381</v>
      </c>
      <c r="O23" s="38"/>
      <c r="P23" s="39"/>
      <c r="T23" s="58"/>
      <c r="Y23" s="61"/>
    </row>
    <row r="24" spans="1:25" ht="18.75" customHeight="1" x14ac:dyDescent="0.2">
      <c r="A24" s="100"/>
      <c r="B24" s="89"/>
      <c r="C24" s="89"/>
      <c r="D24" s="89"/>
      <c r="E24" s="114"/>
      <c r="F24" s="113"/>
      <c r="G24" s="92"/>
      <c r="H24" s="114"/>
      <c r="I24" s="91"/>
      <c r="J24" s="89"/>
      <c r="K24" s="89"/>
      <c r="L24" s="92"/>
      <c r="M24" s="92"/>
      <c r="N24" s="93"/>
      <c r="O24" s="93"/>
      <c r="P24" s="93"/>
      <c r="T24" s="58"/>
      <c r="W24" s="58"/>
    </row>
    <row r="25" spans="1:25" ht="18.75" customHeight="1" x14ac:dyDescent="0.2">
      <c r="A25" s="40"/>
      <c r="B25" s="21"/>
      <c r="C25" s="21"/>
      <c r="D25" s="21"/>
      <c r="E25" s="116"/>
      <c r="F25" s="116"/>
      <c r="G25" s="25"/>
      <c r="H25" s="116"/>
      <c r="I25" s="23"/>
      <c r="J25" s="45"/>
      <c r="K25" s="21"/>
      <c r="L25" s="25"/>
      <c r="M25" s="25"/>
      <c r="N25" s="28"/>
      <c r="O25" s="28"/>
      <c r="P25" s="28"/>
      <c r="W25" s="58"/>
    </row>
    <row r="26" spans="1:25" ht="18.75" customHeight="1" x14ac:dyDescent="0.2">
      <c r="A26" s="42" t="s">
        <v>382</v>
      </c>
      <c r="B26" s="32"/>
      <c r="C26" s="42"/>
      <c r="D26" s="42" t="s">
        <v>383</v>
      </c>
      <c r="E26" s="42" t="s">
        <v>384</v>
      </c>
      <c r="F26" s="119"/>
      <c r="G26" s="36"/>
      <c r="H26" s="119"/>
      <c r="I26" s="34"/>
      <c r="J26" s="43"/>
      <c r="K26" s="32"/>
      <c r="L26" s="36"/>
      <c r="M26" s="36"/>
      <c r="N26" s="38"/>
      <c r="O26" s="38"/>
      <c r="P26" s="38"/>
      <c r="V26" s="61"/>
      <c r="W26" s="58"/>
    </row>
    <row r="27" spans="1:25" ht="18.75" customHeight="1" x14ac:dyDescent="0.2">
      <c r="A27" s="10" t="s">
        <v>321</v>
      </c>
      <c r="B27" s="224" t="s">
        <v>322</v>
      </c>
      <c r="C27" s="224"/>
      <c r="D27" s="224"/>
      <c r="E27" s="11" t="s">
        <v>323</v>
      </c>
      <c r="F27" s="171"/>
      <c r="G27" s="171"/>
      <c r="H27" s="171"/>
      <c r="I27" s="12"/>
      <c r="J27" s="216" t="s">
        <v>11</v>
      </c>
      <c r="K27" s="225" t="s">
        <v>324</v>
      </c>
      <c r="L27" s="226"/>
      <c r="M27" s="227"/>
      <c r="N27" s="212" t="s">
        <v>274</v>
      </c>
      <c r="O27" s="171"/>
      <c r="P27" s="12"/>
      <c r="W27" s="58"/>
    </row>
    <row r="28" spans="1:25" ht="18.75" customHeight="1" x14ac:dyDescent="0.2">
      <c r="A28" s="13">
        <v>59</v>
      </c>
      <c r="B28" s="107">
        <v>0.75694444444444442</v>
      </c>
      <c r="C28" s="89" t="s">
        <v>326</v>
      </c>
      <c r="D28" s="110">
        <v>0.76041666666666663</v>
      </c>
      <c r="E28" s="112" t="str">
        <f>IF(AND(Finales2!K22&lt;&gt;"",Finales2!M22&lt;&gt;""),IF(Finales2!K22&gt;Finales2!M22,Finales2!E22,IF(Finales2!K22&lt;Finales2!M22,Finales2!H22,"Winnaar 57")),"Winnaar 57")</f>
        <v>Winnaar 57</v>
      </c>
      <c r="F28" s="113"/>
      <c r="G28" s="92" t="s">
        <v>326</v>
      </c>
      <c r="H28" s="114" t="str">
        <f>IF(AND(Finales2!K23&lt;&gt;"",Finales2!M23&lt;&gt;""),IF(Finales2!K23&gt;Finales2!M23,Finales2!E23,IF(Finales2!K23&lt;Finales2!M23,Finales2!H23,"Winnaar 58")),"Winnaar 58")</f>
        <v>Winnaar 58</v>
      </c>
      <c r="I28" s="15"/>
      <c r="J28" s="89">
        <v>1</v>
      </c>
      <c r="K28" s="14"/>
      <c r="L28" s="92" t="s">
        <v>326</v>
      </c>
      <c r="M28" s="16"/>
      <c r="N28" s="28" t="s">
        <v>356</v>
      </c>
      <c r="O28" s="93"/>
      <c r="P28" s="18"/>
      <c r="W28" s="58"/>
    </row>
    <row r="29" spans="1:25" ht="18.75" customHeight="1" x14ac:dyDescent="0.2">
      <c r="A29" s="30">
        <v>60</v>
      </c>
      <c r="B29" s="31"/>
      <c r="C29" s="32"/>
      <c r="D29" s="33"/>
      <c r="E29" s="118" t="str">
        <f>IF(AND(Finales2!K22&lt;&gt;"",Finales2!M22&lt;&gt;""),IF(Finales2!K22&lt;Finales2!M22,Finales2!E22,IF(Finales2!K22&gt;Finales2!M22,Finales2!H22,"Verliezer 57")),"Verliezer 57")</f>
        <v>Verliezer 57</v>
      </c>
      <c r="F29" s="119"/>
      <c r="G29" s="36" t="s">
        <v>326</v>
      </c>
      <c r="H29" s="120" t="str">
        <f>IF(AND(Finales2!K23&lt;&gt;"",Finales2!M23&lt;&gt;""),IF(Finales2!K23&lt;Finales2!M23,Finales2!E23,IF(Finales2!K23&gt;Finales2!M23,Finales2!H23,"Verliezer 58")),"Verliezer 58")</f>
        <v>Verliezer 58</v>
      </c>
      <c r="I29" s="35"/>
      <c r="J29" s="32">
        <v>2</v>
      </c>
      <c r="K29" s="31"/>
      <c r="L29" s="36" t="s">
        <v>326</v>
      </c>
      <c r="M29" s="37"/>
      <c r="N29" s="28" t="s">
        <v>289</v>
      </c>
      <c r="O29" s="38"/>
      <c r="P29" s="39"/>
      <c r="W29" s="58"/>
    </row>
    <row r="30" spans="1:25" ht="18.75" customHeight="1" x14ac:dyDescent="0.2">
      <c r="A30" s="100"/>
      <c r="B30" s="89"/>
      <c r="C30" s="89"/>
      <c r="D30" s="89"/>
      <c r="E30" s="97"/>
      <c r="F30" s="91"/>
      <c r="G30" s="89"/>
      <c r="H30" s="97"/>
      <c r="I30" s="91"/>
      <c r="J30" s="89"/>
      <c r="K30" s="89"/>
      <c r="L30" s="92"/>
      <c r="M30" s="92"/>
      <c r="N30" s="93"/>
      <c r="O30" s="93"/>
      <c r="P30" s="93"/>
    </row>
    <row r="31" spans="1:25" ht="18.75" customHeight="1" x14ac:dyDescent="0.2">
      <c r="A31" s="123"/>
      <c r="B31" s="21"/>
      <c r="C31" s="21"/>
      <c r="D31" s="21"/>
      <c r="E31" s="44"/>
      <c r="F31" s="23"/>
      <c r="G31" s="21"/>
      <c r="H31" s="44"/>
      <c r="I31" s="23"/>
      <c r="J31" s="21"/>
      <c r="K31" s="124" t="s">
        <v>385</v>
      </c>
      <c r="L31" s="25"/>
      <c r="M31" s="25"/>
      <c r="N31" s="28"/>
      <c r="O31" s="28"/>
      <c r="P31" s="28"/>
    </row>
    <row r="32" spans="1:25" ht="18.75" customHeight="1" x14ac:dyDescent="0.2">
      <c r="A32" s="123"/>
      <c r="B32" s="21"/>
      <c r="C32" s="21"/>
      <c r="D32" s="21"/>
      <c r="E32" s="44"/>
      <c r="F32" s="23"/>
      <c r="G32" s="21"/>
      <c r="H32" s="44"/>
      <c r="I32" s="23"/>
      <c r="J32" s="21"/>
      <c r="K32" s="21"/>
      <c r="L32" s="25"/>
      <c r="M32" s="25"/>
      <c r="N32" s="28"/>
      <c r="O32" s="28"/>
      <c r="P32" s="28"/>
    </row>
    <row r="33" spans="1:16" ht="15" customHeight="1" x14ac:dyDescent="0.25">
      <c r="A33" s="46" t="s">
        <v>386</v>
      </c>
      <c r="B33" s="21"/>
      <c r="C33" s="21"/>
      <c r="D33" s="21"/>
      <c r="E33" s="23"/>
      <c r="F33" s="23"/>
      <c r="G33" s="32"/>
      <c r="H33" s="32"/>
      <c r="I33" s="32"/>
      <c r="J33" s="45"/>
      <c r="K33" s="21"/>
      <c r="L33" s="25"/>
      <c r="M33" s="25"/>
      <c r="N33" s="28"/>
      <c r="O33" s="28"/>
      <c r="P33" s="28"/>
    </row>
    <row r="34" spans="1:16" ht="12.75" customHeight="1" x14ac:dyDescent="0.2">
      <c r="A34" s="47"/>
      <c r="B34" s="21"/>
      <c r="C34" s="21"/>
      <c r="D34" s="21"/>
      <c r="E34" s="23"/>
      <c r="F34" s="23"/>
      <c r="G34" s="21"/>
      <c r="H34" s="21"/>
      <c r="I34" s="21"/>
      <c r="J34" s="45"/>
      <c r="K34" s="21"/>
      <c r="L34" s="25"/>
      <c r="M34" s="25"/>
      <c r="N34" s="28"/>
      <c r="O34" s="28"/>
      <c r="P34" s="28"/>
    </row>
    <row r="35" spans="1:16" ht="15" customHeight="1" x14ac:dyDescent="0.25">
      <c r="A35" s="46" t="s">
        <v>387</v>
      </c>
      <c r="B35" s="21"/>
      <c r="C35" s="21"/>
      <c r="D35" s="21"/>
      <c r="E35" s="23"/>
      <c r="F35" s="23"/>
      <c r="G35" s="32"/>
      <c r="H35" s="32"/>
      <c r="I35" s="32"/>
      <c r="J35" s="45"/>
      <c r="K35" s="21"/>
      <c r="L35" s="25"/>
      <c r="M35" s="25"/>
      <c r="N35" s="28"/>
      <c r="O35" s="28"/>
      <c r="P35" s="28"/>
    </row>
    <row r="36" spans="1:16" ht="12.75" customHeight="1" x14ac:dyDescent="0.2">
      <c r="A36" s="47"/>
      <c r="B36" s="21"/>
      <c r="C36" s="21"/>
      <c r="D36" s="21"/>
      <c r="E36" s="23"/>
      <c r="F36" s="23"/>
      <c r="G36" s="21"/>
      <c r="H36" s="21"/>
      <c r="I36" s="21"/>
      <c r="J36" s="45"/>
      <c r="K36" s="21"/>
      <c r="L36" s="25"/>
      <c r="M36" s="25"/>
      <c r="N36" s="28"/>
      <c r="O36" s="28"/>
      <c r="P36" s="28"/>
    </row>
    <row r="37" spans="1:16" ht="15" customHeight="1" x14ac:dyDescent="0.25">
      <c r="A37" s="46" t="s">
        <v>388</v>
      </c>
      <c r="B37" s="21"/>
      <c r="C37" s="21"/>
      <c r="D37" s="21"/>
      <c r="E37" s="23"/>
      <c r="F37" s="23"/>
      <c r="G37" s="32"/>
      <c r="H37" s="32"/>
      <c r="I37" s="32"/>
      <c r="J37" s="45"/>
      <c r="K37" s="21"/>
      <c r="L37" s="25"/>
      <c r="M37" s="25"/>
      <c r="N37" s="28"/>
      <c r="O37" s="28"/>
      <c r="P37" s="28"/>
    </row>
    <row r="38" spans="1:16" ht="18" customHeight="1" x14ac:dyDescent="0.2">
      <c r="A38" s="47"/>
      <c r="B38" s="21"/>
      <c r="C38" s="21"/>
      <c r="D38" s="21"/>
      <c r="E38" s="23"/>
      <c r="F38" s="23"/>
      <c r="G38" s="21"/>
      <c r="H38" s="21"/>
      <c r="I38" s="21"/>
      <c r="J38" s="45"/>
      <c r="K38" s="21"/>
      <c r="L38" s="25"/>
      <c r="M38" s="25"/>
      <c r="N38" s="28"/>
      <c r="O38" s="28"/>
      <c r="P38" s="28"/>
    </row>
    <row r="39" spans="1:16" ht="15" customHeight="1" x14ac:dyDescent="0.25">
      <c r="A39" s="46" t="s">
        <v>389</v>
      </c>
      <c r="B39" s="21"/>
      <c r="C39" s="21"/>
      <c r="D39" s="21"/>
      <c r="E39" s="23"/>
      <c r="F39" s="23"/>
      <c r="G39" s="32"/>
      <c r="H39" s="32"/>
      <c r="I39" s="32"/>
      <c r="J39" s="45"/>
      <c r="K39" s="21"/>
      <c r="L39" s="25"/>
      <c r="M39" s="25"/>
      <c r="N39" s="28"/>
      <c r="O39" s="28"/>
      <c r="P39" s="28"/>
    </row>
    <row r="40" spans="1:16" ht="12.75" customHeight="1" x14ac:dyDescent="0.2">
      <c r="A40" s="47"/>
      <c r="B40" s="21"/>
      <c r="C40" s="21"/>
      <c r="D40" s="21"/>
      <c r="E40" s="23"/>
      <c r="F40" s="23"/>
      <c r="G40" s="21"/>
      <c r="H40" s="21"/>
      <c r="I40" s="21"/>
      <c r="J40" s="45"/>
      <c r="K40" s="21"/>
      <c r="L40" s="25"/>
      <c r="M40" s="25"/>
      <c r="N40" s="28"/>
      <c r="O40" s="28"/>
      <c r="P40" s="28"/>
    </row>
    <row r="41" spans="1:16" ht="15" customHeight="1" x14ac:dyDescent="0.25">
      <c r="A41" s="46" t="s">
        <v>390</v>
      </c>
      <c r="B41" s="21"/>
      <c r="C41" s="21"/>
      <c r="D41" s="21"/>
      <c r="E41" s="23"/>
      <c r="F41" s="23"/>
      <c r="G41" s="32"/>
      <c r="H41" s="32"/>
      <c r="I41" s="32"/>
      <c r="J41" s="45"/>
      <c r="K41" s="21"/>
      <c r="L41" s="25"/>
      <c r="M41" s="25"/>
      <c r="N41" s="28"/>
      <c r="O41" s="28"/>
      <c r="P41" s="28"/>
    </row>
    <row r="42" spans="1:16" ht="12.75" customHeight="1" x14ac:dyDescent="0.2">
      <c r="A42" s="47"/>
      <c r="B42" s="21"/>
      <c r="C42" s="21"/>
      <c r="D42" s="21"/>
      <c r="E42" s="23"/>
      <c r="F42" s="23"/>
      <c r="G42" s="21"/>
      <c r="H42" s="21"/>
      <c r="I42" s="21"/>
      <c r="J42" s="45"/>
      <c r="K42" s="21"/>
      <c r="L42" s="25"/>
      <c r="M42" s="25"/>
      <c r="N42" s="28"/>
      <c r="O42" s="28"/>
      <c r="P42" s="28"/>
    </row>
    <row r="43" spans="1:16" ht="15" customHeight="1" x14ac:dyDescent="0.25">
      <c r="A43" s="46" t="s">
        <v>391</v>
      </c>
      <c r="B43" s="21"/>
      <c r="C43" s="21"/>
      <c r="D43" s="21"/>
      <c r="E43" s="23"/>
      <c r="F43" s="23"/>
      <c r="G43" s="32"/>
      <c r="H43" s="32"/>
      <c r="I43" s="32"/>
      <c r="J43" s="45"/>
      <c r="K43" s="21"/>
      <c r="L43" s="25"/>
      <c r="M43" s="25"/>
      <c r="N43" s="28"/>
      <c r="O43" s="28"/>
      <c r="P43" s="28"/>
    </row>
    <row r="44" spans="1:16" ht="18" customHeight="1" x14ac:dyDescent="0.2">
      <c r="A44" s="40"/>
      <c r="B44" s="21"/>
      <c r="C44" s="21"/>
      <c r="D44" s="21"/>
      <c r="E44" s="23"/>
      <c r="F44" s="23"/>
      <c r="G44" s="21"/>
      <c r="H44" s="21"/>
      <c r="I44" s="21"/>
      <c r="J44" s="45"/>
      <c r="K44" s="21"/>
      <c r="L44" s="25"/>
      <c r="M44" s="25"/>
      <c r="N44" s="28"/>
      <c r="O44" s="28"/>
      <c r="P44" s="28"/>
    </row>
    <row r="45" spans="1:16" ht="15" customHeight="1" x14ac:dyDescent="0.25">
      <c r="A45" s="46" t="s">
        <v>392</v>
      </c>
      <c r="B45" s="21"/>
      <c r="C45" s="21"/>
      <c r="D45" s="21"/>
      <c r="E45" s="23"/>
      <c r="F45" s="23"/>
      <c r="G45" s="125"/>
      <c r="H45" s="211"/>
      <c r="I45" s="125"/>
      <c r="J45" s="45"/>
      <c r="K45" s="126"/>
      <c r="L45" s="25"/>
      <c r="M45" s="25"/>
      <c r="N45" s="45"/>
      <c r="O45" s="21"/>
      <c r="P45" s="21"/>
    </row>
    <row r="46" spans="1:16" ht="12.75" customHeight="1" x14ac:dyDescent="0.2">
      <c r="A46" s="47"/>
      <c r="B46" s="21"/>
      <c r="C46" s="21"/>
      <c r="D46" s="21"/>
      <c r="E46" s="23"/>
      <c r="F46" s="23"/>
      <c r="G46" s="21"/>
      <c r="H46" s="21"/>
      <c r="I46" s="21"/>
      <c r="J46" s="45"/>
      <c r="K46" s="21"/>
      <c r="L46" s="25"/>
      <c r="M46" s="25"/>
      <c r="N46" s="45"/>
      <c r="O46" s="21"/>
      <c r="P46" s="21"/>
    </row>
    <row r="47" spans="1:16" s="41" customFormat="1" ht="15" customHeight="1" x14ac:dyDescent="0.25">
      <c r="A47" s="46" t="s">
        <v>393</v>
      </c>
      <c r="B47" s="21"/>
      <c r="C47" s="21"/>
      <c r="D47" s="21"/>
      <c r="E47" s="23"/>
      <c r="F47" s="23"/>
      <c r="G47" s="32"/>
      <c r="H47" s="36"/>
      <c r="I47" s="32"/>
      <c r="J47" s="45"/>
      <c r="K47" s="21"/>
      <c r="L47" s="25"/>
      <c r="M47" s="25"/>
      <c r="N47" s="45"/>
      <c r="O47" s="21"/>
      <c r="P47" s="21"/>
    </row>
    <row r="48" spans="1:16" ht="12.75" customHeight="1" x14ac:dyDescent="0.2">
      <c r="A48" s="47"/>
      <c r="B48" s="21"/>
      <c r="C48" s="21"/>
      <c r="D48" s="21"/>
      <c r="E48" s="23"/>
      <c r="F48" s="23"/>
      <c r="G48" s="21"/>
      <c r="H48" s="21"/>
      <c r="I48" s="21"/>
      <c r="J48" s="45"/>
      <c r="K48" s="21"/>
      <c r="L48" s="25"/>
      <c r="M48" s="25"/>
      <c r="N48" s="28"/>
      <c r="O48" s="28"/>
      <c r="P48" s="28"/>
    </row>
    <row r="49" spans="1:16" ht="15" customHeight="1" x14ac:dyDescent="0.25">
      <c r="A49" s="46" t="s">
        <v>394</v>
      </c>
      <c r="B49" s="21"/>
      <c r="C49" s="21"/>
      <c r="D49" s="21"/>
      <c r="E49" s="23"/>
      <c r="F49" s="23"/>
      <c r="G49" s="32"/>
      <c r="H49" s="32"/>
      <c r="I49" s="32"/>
      <c r="J49" s="45"/>
      <c r="K49" s="21"/>
      <c r="L49" s="25"/>
      <c r="M49" s="25"/>
      <c r="N49" s="28"/>
      <c r="O49" s="28"/>
      <c r="P49" s="28"/>
    </row>
    <row r="50" spans="1:16" ht="18.75" customHeight="1" x14ac:dyDescent="0.2">
      <c r="A50" s="48"/>
      <c r="B50" s="48"/>
      <c r="C50" s="4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</row>
    <row r="51" spans="1:16" ht="18.75" customHeight="1" x14ac:dyDescent="0.2">
      <c r="A51" s="48"/>
      <c r="B51" s="48"/>
      <c r="C51" s="4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</row>
    <row r="52" spans="1:16" ht="18.75" customHeight="1" x14ac:dyDescent="0.2">
      <c r="A52" s="48"/>
      <c r="B52" s="48"/>
      <c r="C52" s="4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</row>
    <row r="53" spans="1:16" ht="18.75" customHeight="1" x14ac:dyDescent="0.2">
      <c r="A53" s="48"/>
      <c r="B53" s="48"/>
      <c r="C53" s="4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</row>
  </sheetData>
  <mergeCells count="9">
    <mergeCell ref="B27:D27"/>
    <mergeCell ref="K27:M27"/>
    <mergeCell ref="A8:D8"/>
    <mergeCell ref="E8:N8"/>
    <mergeCell ref="O8:P8"/>
    <mergeCell ref="B13:D13"/>
    <mergeCell ref="K13:M13"/>
    <mergeCell ref="B21:D21"/>
    <mergeCell ref="K21:M21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58</vt:i4>
      </vt:variant>
    </vt:vector>
  </HeadingPairs>
  <TitlesOfParts>
    <vt:vector size="90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Finales1</vt:lpstr>
      <vt:lpstr>Finales2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Rene Janssen</dc:creator>
  <cp:keywords/>
  <dc:description/>
  <cp:lastModifiedBy>Gert-Jan  Schotmeijer | vv SEP</cp:lastModifiedBy>
  <cp:revision/>
  <dcterms:created xsi:type="dcterms:W3CDTF">2005-02-28T21:00:39Z</dcterms:created>
  <dcterms:modified xsi:type="dcterms:W3CDTF">2026-04-09T06:42:15Z</dcterms:modified>
  <cp:category/>
  <cp:contentStatus/>
</cp:coreProperties>
</file>